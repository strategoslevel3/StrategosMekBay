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uart/Games/MegaMek/mekhq-0.49.19.1/Morning Star/Company Report December 3029/"/>
    </mc:Choice>
  </mc:AlternateContent>
  <xr:revisionPtr revIDLastSave="0" documentId="8_{FEDEFEA2-C988-ED4B-8F53-E64B3FD14D31}" xr6:coauthVersionLast="47" xr6:coauthVersionMax="47" xr10:uidLastSave="{00000000-0000-0000-0000-000000000000}"/>
  <bookViews>
    <workbookView xWindow="49160" yWindow="2340" windowWidth="28040" windowHeight="17440" activeTab="1" xr2:uid="{DD03EFD7-CB75-634A-835E-2935F2EA68CC}"/>
  </bookViews>
  <sheets>
    <sheet name="TOE" sheetId="5" r:id="rId1"/>
    <sheet name="Inventory Summary" sheetId="1" r:id="rId2"/>
    <sheet name="Parts Required" sheetId="3" r:id="rId3"/>
    <sheet name="Equipment Required" sheetId="4" r:id="rId4"/>
    <sheet name="MekHQ Inventory Export" sheetId="2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E3" i="3"/>
  <c r="F3" i="3"/>
  <c r="G3" i="3"/>
  <c r="H3" i="3"/>
  <c r="I3" i="3"/>
  <c r="J3" i="3"/>
  <c r="K3" i="3"/>
  <c r="L3" i="3"/>
  <c r="M3" i="3"/>
  <c r="N3" i="3"/>
  <c r="O3" i="3"/>
  <c r="P3" i="3"/>
  <c r="D4" i="3"/>
  <c r="E4" i="3"/>
  <c r="F4" i="3"/>
  <c r="G4" i="3"/>
  <c r="H4" i="3"/>
  <c r="I4" i="3"/>
  <c r="J4" i="3"/>
  <c r="K4" i="3"/>
  <c r="L4" i="3"/>
  <c r="M4" i="3"/>
  <c r="N4" i="3"/>
  <c r="O4" i="3"/>
  <c r="P4" i="3"/>
  <c r="D5" i="3"/>
  <c r="E5" i="3"/>
  <c r="F5" i="3"/>
  <c r="G5" i="3"/>
  <c r="H5" i="3"/>
  <c r="I5" i="3"/>
  <c r="J5" i="3"/>
  <c r="K5" i="3"/>
  <c r="L5" i="3"/>
  <c r="M5" i="3"/>
  <c r="N5" i="3"/>
  <c r="O5" i="3"/>
  <c r="P5" i="3"/>
  <c r="D6" i="3"/>
  <c r="E6" i="3"/>
  <c r="F6" i="3"/>
  <c r="G6" i="3"/>
  <c r="H6" i="3"/>
  <c r="I6" i="3"/>
  <c r="J6" i="3"/>
  <c r="K6" i="3"/>
  <c r="L6" i="3"/>
  <c r="M6" i="3"/>
  <c r="N6" i="3"/>
  <c r="O6" i="3"/>
  <c r="P6" i="3"/>
  <c r="D7" i="3"/>
  <c r="E7" i="3"/>
  <c r="F7" i="3"/>
  <c r="G7" i="3"/>
  <c r="H7" i="3"/>
  <c r="I7" i="3"/>
  <c r="J7" i="3"/>
  <c r="K7" i="3"/>
  <c r="L7" i="3"/>
  <c r="M7" i="3"/>
  <c r="N7" i="3"/>
  <c r="O7" i="3"/>
  <c r="P7" i="3"/>
  <c r="D8" i="3"/>
  <c r="E8" i="3"/>
  <c r="F8" i="3"/>
  <c r="G8" i="3"/>
  <c r="H8" i="3"/>
  <c r="I8" i="3"/>
  <c r="J8" i="3"/>
  <c r="K8" i="3"/>
  <c r="L8" i="3"/>
  <c r="M8" i="3"/>
  <c r="N8" i="3"/>
  <c r="O8" i="3"/>
  <c r="P8" i="3"/>
  <c r="D9" i="3"/>
  <c r="E9" i="3"/>
  <c r="F9" i="3"/>
  <c r="G9" i="3"/>
  <c r="H9" i="3"/>
  <c r="I9" i="3"/>
  <c r="J9" i="3"/>
  <c r="K9" i="3"/>
  <c r="L9" i="3"/>
  <c r="M9" i="3"/>
  <c r="N9" i="3"/>
  <c r="O9" i="3"/>
  <c r="P9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D34" i="3"/>
  <c r="E34" i="3"/>
  <c r="F34" i="3"/>
  <c r="G34" i="3"/>
  <c r="H34" i="3"/>
  <c r="I34" i="3"/>
  <c r="J34" i="3"/>
  <c r="K34" i="3"/>
  <c r="L34" i="3"/>
  <c r="M34" i="3"/>
  <c r="N34" i="3"/>
  <c r="O34" i="3"/>
  <c r="P34" i="3"/>
  <c r="D35" i="3"/>
  <c r="E35" i="3"/>
  <c r="F35" i="3"/>
  <c r="G35" i="3"/>
  <c r="H35" i="3"/>
  <c r="I35" i="3"/>
  <c r="J35" i="3"/>
  <c r="K35" i="3"/>
  <c r="L35" i="3"/>
  <c r="M35" i="3"/>
  <c r="N35" i="3"/>
  <c r="O35" i="3"/>
  <c r="P35" i="3"/>
  <c r="D36" i="3"/>
  <c r="E36" i="3"/>
  <c r="F36" i="3"/>
  <c r="G36" i="3"/>
  <c r="H36" i="3"/>
  <c r="I36" i="3"/>
  <c r="J36" i="3"/>
  <c r="K36" i="3"/>
  <c r="L36" i="3"/>
  <c r="M36" i="3"/>
  <c r="N36" i="3"/>
  <c r="O36" i="3"/>
  <c r="P36" i="3"/>
  <c r="D37" i="3"/>
  <c r="E37" i="3"/>
  <c r="F37" i="3"/>
  <c r="G37" i="3"/>
  <c r="H37" i="3"/>
  <c r="I37" i="3"/>
  <c r="J37" i="3"/>
  <c r="K37" i="3"/>
  <c r="L37" i="3"/>
  <c r="M37" i="3"/>
  <c r="N37" i="3"/>
  <c r="O37" i="3"/>
  <c r="P37" i="3"/>
  <c r="D38" i="3"/>
  <c r="E38" i="3"/>
  <c r="F38" i="3"/>
  <c r="G38" i="3"/>
  <c r="H38" i="3"/>
  <c r="I38" i="3"/>
  <c r="J38" i="3"/>
  <c r="K38" i="3"/>
  <c r="L38" i="3"/>
  <c r="M38" i="3"/>
  <c r="N38" i="3"/>
  <c r="O38" i="3"/>
  <c r="P38" i="3"/>
  <c r="D39" i="3"/>
  <c r="E39" i="3"/>
  <c r="F39" i="3"/>
  <c r="G39" i="3"/>
  <c r="H39" i="3"/>
  <c r="I39" i="3"/>
  <c r="J39" i="3"/>
  <c r="K39" i="3"/>
  <c r="L39" i="3"/>
  <c r="M39" i="3"/>
  <c r="N39" i="3"/>
  <c r="O39" i="3"/>
  <c r="P39" i="3"/>
  <c r="D40" i="3"/>
  <c r="E40" i="3"/>
  <c r="F40" i="3"/>
  <c r="G40" i="3"/>
  <c r="H40" i="3"/>
  <c r="I40" i="3"/>
  <c r="J40" i="3"/>
  <c r="K40" i="3"/>
  <c r="L40" i="3"/>
  <c r="M40" i="3"/>
  <c r="N40" i="3"/>
  <c r="O40" i="3"/>
  <c r="P40" i="3"/>
  <c r="D41" i="3"/>
  <c r="E41" i="3"/>
  <c r="F41" i="3"/>
  <c r="G41" i="3"/>
  <c r="H41" i="3"/>
  <c r="I41" i="3"/>
  <c r="J41" i="3"/>
  <c r="K41" i="3"/>
  <c r="L41" i="3"/>
  <c r="M41" i="3"/>
  <c r="N41" i="3"/>
  <c r="O41" i="3"/>
  <c r="P41" i="3"/>
  <c r="D42" i="3"/>
  <c r="E42" i="3"/>
  <c r="F42" i="3"/>
  <c r="G42" i="3"/>
  <c r="H42" i="3"/>
  <c r="I42" i="3"/>
  <c r="J42" i="3"/>
  <c r="K42" i="3"/>
  <c r="L42" i="3"/>
  <c r="M42" i="3"/>
  <c r="N42" i="3"/>
  <c r="O42" i="3"/>
  <c r="P42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D45" i="3"/>
  <c r="E45" i="3"/>
  <c r="F45" i="3"/>
  <c r="G45" i="3"/>
  <c r="H45" i="3"/>
  <c r="I45" i="3"/>
  <c r="J45" i="3"/>
  <c r="K45" i="3"/>
  <c r="L45" i="3"/>
  <c r="M45" i="3"/>
  <c r="N45" i="3"/>
  <c r="O45" i="3"/>
  <c r="P45" i="3"/>
  <c r="D46" i="3"/>
  <c r="E46" i="3"/>
  <c r="F46" i="3"/>
  <c r="G46" i="3"/>
  <c r="H46" i="3"/>
  <c r="I46" i="3"/>
  <c r="J46" i="3"/>
  <c r="K46" i="3"/>
  <c r="L46" i="3"/>
  <c r="M46" i="3"/>
  <c r="N46" i="3"/>
  <c r="O46" i="3"/>
  <c r="P46" i="3"/>
  <c r="D47" i="3"/>
  <c r="E47" i="3"/>
  <c r="F47" i="3"/>
  <c r="G47" i="3"/>
  <c r="H47" i="3"/>
  <c r="I47" i="3"/>
  <c r="J47" i="3"/>
  <c r="K47" i="3"/>
  <c r="L47" i="3"/>
  <c r="M47" i="3"/>
  <c r="N47" i="3"/>
  <c r="O47" i="3"/>
  <c r="P47" i="3"/>
  <c r="D48" i="3"/>
  <c r="E48" i="3"/>
  <c r="F48" i="3"/>
  <c r="G48" i="3"/>
  <c r="H48" i="3"/>
  <c r="I48" i="3"/>
  <c r="J48" i="3"/>
  <c r="K48" i="3"/>
  <c r="L48" i="3"/>
  <c r="M48" i="3"/>
  <c r="N48" i="3"/>
  <c r="O48" i="3"/>
  <c r="P48" i="3"/>
  <c r="D49" i="3"/>
  <c r="E49" i="3"/>
  <c r="F49" i="3"/>
  <c r="G49" i="3"/>
  <c r="H49" i="3"/>
  <c r="I49" i="3"/>
  <c r="J49" i="3"/>
  <c r="K49" i="3"/>
  <c r="L49" i="3"/>
  <c r="M49" i="3"/>
  <c r="N49" i="3"/>
  <c r="O49" i="3"/>
  <c r="P49" i="3"/>
  <c r="D50" i="3"/>
  <c r="E50" i="3"/>
  <c r="F50" i="3"/>
  <c r="G50" i="3"/>
  <c r="H50" i="3"/>
  <c r="I50" i="3"/>
  <c r="J50" i="3"/>
  <c r="K50" i="3"/>
  <c r="L50" i="3"/>
  <c r="M50" i="3"/>
  <c r="N50" i="3"/>
  <c r="O50" i="3"/>
  <c r="P50" i="3"/>
  <c r="D51" i="3"/>
  <c r="E51" i="3"/>
  <c r="F51" i="3"/>
  <c r="G51" i="3"/>
  <c r="H51" i="3"/>
  <c r="I51" i="3"/>
  <c r="J51" i="3"/>
  <c r="K51" i="3"/>
  <c r="L51" i="3"/>
  <c r="M51" i="3"/>
  <c r="N51" i="3"/>
  <c r="O51" i="3"/>
  <c r="P51" i="3"/>
  <c r="D52" i="3"/>
  <c r="E52" i="3"/>
  <c r="F52" i="3"/>
  <c r="G52" i="3"/>
  <c r="H52" i="3"/>
  <c r="I52" i="3"/>
  <c r="J52" i="3"/>
  <c r="K52" i="3"/>
  <c r="L52" i="3"/>
  <c r="M52" i="3"/>
  <c r="N52" i="3"/>
  <c r="O52" i="3"/>
  <c r="P52" i="3"/>
  <c r="D53" i="3"/>
  <c r="E53" i="3"/>
  <c r="F53" i="3"/>
  <c r="G53" i="3"/>
  <c r="H53" i="3"/>
  <c r="I53" i="3"/>
  <c r="J53" i="3"/>
  <c r="K53" i="3"/>
  <c r="L53" i="3"/>
  <c r="M53" i="3"/>
  <c r="N53" i="3"/>
  <c r="O53" i="3"/>
  <c r="P53" i="3"/>
  <c r="D54" i="3"/>
  <c r="E54" i="3"/>
  <c r="F54" i="3"/>
  <c r="G54" i="3"/>
  <c r="H54" i="3"/>
  <c r="I54" i="3"/>
  <c r="J54" i="3"/>
  <c r="K54" i="3"/>
  <c r="L54" i="3"/>
  <c r="M54" i="3"/>
  <c r="N54" i="3"/>
  <c r="O54" i="3"/>
  <c r="P54" i="3"/>
  <c r="D55" i="3"/>
  <c r="E55" i="3"/>
  <c r="F55" i="3"/>
  <c r="G55" i="3"/>
  <c r="H55" i="3"/>
  <c r="I55" i="3"/>
  <c r="J55" i="3"/>
  <c r="K55" i="3"/>
  <c r="L55" i="3"/>
  <c r="M55" i="3"/>
  <c r="N55" i="3"/>
  <c r="O55" i="3"/>
  <c r="P55" i="3"/>
  <c r="D56" i="3"/>
  <c r="E56" i="3"/>
  <c r="F56" i="3"/>
  <c r="G56" i="3"/>
  <c r="H56" i="3"/>
  <c r="I56" i="3"/>
  <c r="J56" i="3"/>
  <c r="K56" i="3"/>
  <c r="L56" i="3"/>
  <c r="M56" i="3"/>
  <c r="N56" i="3"/>
  <c r="O56" i="3"/>
  <c r="P56" i="3"/>
  <c r="D57" i="3"/>
  <c r="E57" i="3"/>
  <c r="F57" i="3"/>
  <c r="G57" i="3"/>
  <c r="H57" i="3"/>
  <c r="I57" i="3"/>
  <c r="J57" i="3"/>
  <c r="K57" i="3"/>
  <c r="L57" i="3"/>
  <c r="M57" i="3"/>
  <c r="N57" i="3"/>
  <c r="O57" i="3"/>
  <c r="P57" i="3"/>
  <c r="P2" i="3"/>
  <c r="O2" i="3"/>
  <c r="N2" i="3"/>
  <c r="M2" i="3"/>
  <c r="L2" i="3"/>
  <c r="K2" i="3"/>
  <c r="J2" i="3"/>
  <c r="I2" i="3"/>
  <c r="H2" i="3"/>
  <c r="G2" i="3"/>
  <c r="F2" i="3"/>
  <c r="E2" i="3"/>
  <c r="D2" i="3"/>
  <c r="A51" i="3"/>
  <c r="A52" i="3"/>
  <c r="A53" i="3"/>
  <c r="A54" i="3"/>
  <c r="A55" i="3"/>
  <c r="B3" i="3"/>
  <c r="C3" i="3"/>
  <c r="B4" i="3"/>
  <c r="C4" i="3"/>
  <c r="B5" i="3"/>
  <c r="C5" i="3"/>
  <c r="B6" i="3"/>
  <c r="C6" i="3"/>
  <c r="B7" i="3"/>
  <c r="C7" i="3"/>
  <c r="B8" i="3"/>
  <c r="C8" i="3"/>
  <c r="B9" i="3"/>
  <c r="C9" i="3"/>
  <c r="B10" i="3"/>
  <c r="C10" i="3"/>
  <c r="B11" i="3"/>
  <c r="C11" i="3"/>
  <c r="B12" i="3"/>
  <c r="C12" i="3"/>
  <c r="B13" i="3"/>
  <c r="C13" i="3"/>
  <c r="B14" i="3"/>
  <c r="C14" i="3"/>
  <c r="B15" i="3"/>
  <c r="C15" i="3"/>
  <c r="B16" i="3"/>
  <c r="C16" i="3"/>
  <c r="B17" i="3"/>
  <c r="C17" i="3"/>
  <c r="B18" i="3"/>
  <c r="C18" i="3"/>
  <c r="B19" i="3"/>
  <c r="C19" i="3"/>
  <c r="B20" i="3"/>
  <c r="C20" i="3"/>
  <c r="B21" i="3"/>
  <c r="C21" i="3"/>
  <c r="B22" i="3"/>
  <c r="C22" i="3"/>
  <c r="B23" i="3"/>
  <c r="C23" i="3"/>
  <c r="B24" i="3"/>
  <c r="C24" i="3"/>
  <c r="B25" i="3"/>
  <c r="C25" i="3"/>
  <c r="B26" i="3"/>
  <c r="C26" i="3"/>
  <c r="B27" i="3"/>
  <c r="C27" i="3"/>
  <c r="B28" i="3"/>
  <c r="C28" i="3"/>
  <c r="B29" i="3"/>
  <c r="C29" i="3"/>
  <c r="B30" i="3"/>
  <c r="C30" i="3"/>
  <c r="B31" i="3"/>
  <c r="C31" i="3"/>
  <c r="B32" i="3"/>
  <c r="C32" i="3"/>
  <c r="B33" i="3"/>
  <c r="C33" i="3"/>
  <c r="B34" i="3"/>
  <c r="C34" i="3"/>
  <c r="B35" i="3"/>
  <c r="C35" i="3"/>
  <c r="B36" i="3"/>
  <c r="C36" i="3"/>
  <c r="B37" i="3"/>
  <c r="C37" i="3"/>
  <c r="B38" i="3"/>
  <c r="C38" i="3"/>
  <c r="B39" i="3"/>
  <c r="C39" i="3"/>
  <c r="B40" i="3"/>
  <c r="C40" i="3"/>
  <c r="B41" i="3"/>
  <c r="C41" i="3"/>
  <c r="B42" i="3"/>
  <c r="C42" i="3"/>
  <c r="B43" i="3"/>
  <c r="C43" i="3"/>
  <c r="B44" i="3"/>
  <c r="C44" i="3"/>
  <c r="B45" i="3"/>
  <c r="C45" i="3"/>
  <c r="B46" i="3"/>
  <c r="C46" i="3"/>
  <c r="B47" i="3"/>
  <c r="C47" i="3"/>
  <c r="B48" i="3"/>
  <c r="C48" i="3"/>
  <c r="B49" i="3"/>
  <c r="C49" i="3"/>
  <c r="B50" i="3"/>
  <c r="C50" i="3"/>
  <c r="B51" i="3"/>
  <c r="C51" i="3"/>
  <c r="B52" i="3"/>
  <c r="C52" i="3"/>
  <c r="B53" i="3"/>
  <c r="C53" i="3"/>
  <c r="B54" i="3"/>
  <c r="C54" i="3"/>
  <c r="B55" i="3"/>
  <c r="C55" i="3"/>
  <c r="B2" i="3"/>
  <c r="C2" i="3"/>
  <c r="C56" i="3"/>
  <c r="C57" i="3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2" i="3"/>
  <c r="C37" i="1"/>
  <c r="B36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T2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40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7" i="1"/>
  <c r="B21" i="1"/>
  <c r="B3" i="1"/>
  <c r="D3" i="1"/>
  <c r="F3" i="1"/>
  <c r="H3" i="1"/>
  <c r="J3" i="1"/>
  <c r="P3" i="1"/>
  <c r="R3" i="1"/>
  <c r="T3" i="1"/>
  <c r="V3" i="1"/>
  <c r="X3" i="1"/>
  <c r="Z3" i="1"/>
  <c r="AB3" i="1"/>
  <c r="L3" i="1"/>
  <c r="B4" i="1"/>
  <c r="D4" i="1"/>
  <c r="F4" i="1"/>
  <c r="H4" i="1"/>
  <c r="J4" i="1"/>
  <c r="P4" i="1"/>
  <c r="R4" i="1"/>
  <c r="T4" i="1"/>
  <c r="V4" i="1"/>
  <c r="X4" i="1"/>
  <c r="Z4" i="1"/>
  <c r="AB4" i="1"/>
  <c r="L4" i="1"/>
  <c r="B5" i="1"/>
  <c r="D5" i="1"/>
  <c r="F5" i="1"/>
  <c r="H5" i="1"/>
  <c r="J5" i="1"/>
  <c r="P5" i="1"/>
  <c r="R5" i="1"/>
  <c r="T5" i="1"/>
  <c r="V5" i="1"/>
  <c r="X5" i="1"/>
  <c r="Z5" i="1"/>
  <c r="AB5" i="1"/>
  <c r="L5" i="1"/>
  <c r="B6" i="1"/>
  <c r="D6" i="1"/>
  <c r="F6" i="1"/>
  <c r="H6" i="1"/>
  <c r="J6" i="1"/>
  <c r="P6" i="1"/>
  <c r="R6" i="1"/>
  <c r="T6" i="1"/>
  <c r="V6" i="1"/>
  <c r="X6" i="1"/>
  <c r="Z6" i="1"/>
  <c r="AB6" i="1"/>
  <c r="L6" i="1"/>
  <c r="B7" i="1"/>
  <c r="D7" i="1"/>
  <c r="F7" i="1"/>
  <c r="H7" i="1"/>
  <c r="J7" i="1"/>
  <c r="P7" i="1"/>
  <c r="R7" i="1"/>
  <c r="T7" i="1"/>
  <c r="V7" i="1"/>
  <c r="X7" i="1"/>
  <c r="Z7" i="1"/>
  <c r="AB7" i="1"/>
  <c r="L7" i="1"/>
  <c r="B8" i="1"/>
  <c r="D8" i="1"/>
  <c r="F8" i="1"/>
  <c r="H8" i="1"/>
  <c r="J8" i="1"/>
  <c r="P8" i="1"/>
  <c r="R8" i="1"/>
  <c r="T8" i="1"/>
  <c r="V8" i="1"/>
  <c r="X8" i="1"/>
  <c r="Z8" i="1"/>
  <c r="AB8" i="1"/>
  <c r="L8" i="1"/>
  <c r="B9" i="1"/>
  <c r="D9" i="1"/>
  <c r="F9" i="1"/>
  <c r="H9" i="1"/>
  <c r="J9" i="1"/>
  <c r="P9" i="1"/>
  <c r="R9" i="1"/>
  <c r="T9" i="1"/>
  <c r="V9" i="1"/>
  <c r="X9" i="1"/>
  <c r="Z9" i="1"/>
  <c r="AB9" i="1"/>
  <c r="L9" i="1"/>
  <c r="B10" i="1"/>
  <c r="D10" i="1"/>
  <c r="F10" i="1"/>
  <c r="H10" i="1"/>
  <c r="J10" i="1"/>
  <c r="P10" i="1"/>
  <c r="R10" i="1"/>
  <c r="T10" i="1"/>
  <c r="V10" i="1"/>
  <c r="X10" i="1"/>
  <c r="Z10" i="1"/>
  <c r="AB10" i="1"/>
  <c r="L10" i="1"/>
  <c r="B11" i="1"/>
  <c r="D11" i="1"/>
  <c r="F11" i="1"/>
  <c r="H11" i="1"/>
  <c r="J11" i="1"/>
  <c r="P11" i="1"/>
  <c r="R11" i="1"/>
  <c r="T11" i="1"/>
  <c r="V11" i="1"/>
  <c r="X11" i="1"/>
  <c r="Z11" i="1"/>
  <c r="AB11" i="1"/>
  <c r="L11" i="1"/>
  <c r="B12" i="1"/>
  <c r="D12" i="1"/>
  <c r="F12" i="1"/>
  <c r="H12" i="1"/>
  <c r="J12" i="1"/>
  <c r="P12" i="1"/>
  <c r="R12" i="1"/>
  <c r="T12" i="1"/>
  <c r="V12" i="1"/>
  <c r="X12" i="1"/>
  <c r="Z12" i="1"/>
  <c r="AB12" i="1"/>
  <c r="L12" i="1"/>
  <c r="B13" i="1"/>
  <c r="D13" i="1"/>
  <c r="F13" i="1"/>
  <c r="H13" i="1"/>
  <c r="J13" i="1"/>
  <c r="P13" i="1"/>
  <c r="R13" i="1"/>
  <c r="T13" i="1"/>
  <c r="V13" i="1"/>
  <c r="X13" i="1"/>
  <c r="Z13" i="1"/>
  <c r="AB13" i="1"/>
  <c r="L13" i="1"/>
  <c r="B14" i="1"/>
  <c r="D14" i="1"/>
  <c r="F14" i="1"/>
  <c r="H14" i="1"/>
  <c r="J14" i="1"/>
  <c r="P14" i="1"/>
  <c r="R14" i="1"/>
  <c r="T14" i="1"/>
  <c r="V14" i="1"/>
  <c r="X14" i="1"/>
  <c r="Z14" i="1"/>
  <c r="AB14" i="1"/>
  <c r="L14" i="1"/>
  <c r="B15" i="1"/>
  <c r="D15" i="1"/>
  <c r="F15" i="1"/>
  <c r="H15" i="1"/>
  <c r="J15" i="1"/>
  <c r="P15" i="1"/>
  <c r="R15" i="1"/>
  <c r="T15" i="1"/>
  <c r="V15" i="1"/>
  <c r="X15" i="1"/>
  <c r="Z15" i="1"/>
  <c r="AB15" i="1"/>
  <c r="L15" i="1"/>
  <c r="B16" i="1"/>
  <c r="D16" i="1"/>
  <c r="F16" i="1"/>
  <c r="H16" i="1"/>
  <c r="J16" i="1"/>
  <c r="P16" i="1"/>
  <c r="R16" i="1"/>
  <c r="T16" i="1"/>
  <c r="V16" i="1"/>
  <c r="X16" i="1"/>
  <c r="Z16" i="1"/>
  <c r="AB16" i="1"/>
  <c r="L16" i="1"/>
  <c r="B17" i="1"/>
  <c r="D17" i="1"/>
  <c r="F17" i="1"/>
  <c r="H17" i="1"/>
  <c r="J17" i="1"/>
  <c r="P17" i="1"/>
  <c r="R17" i="1"/>
  <c r="T17" i="1"/>
  <c r="V17" i="1"/>
  <c r="X17" i="1"/>
  <c r="Z17" i="1"/>
  <c r="AB17" i="1"/>
  <c r="L17" i="1"/>
  <c r="B18" i="1"/>
  <c r="D18" i="1"/>
  <c r="F18" i="1"/>
  <c r="H18" i="1"/>
  <c r="J18" i="1"/>
  <c r="P18" i="1"/>
  <c r="R18" i="1"/>
  <c r="T18" i="1"/>
  <c r="V18" i="1"/>
  <c r="X18" i="1"/>
  <c r="Z18" i="1"/>
  <c r="AB18" i="1"/>
  <c r="L18" i="1"/>
  <c r="L2" i="1"/>
  <c r="AB2" i="1"/>
  <c r="Z2" i="1"/>
  <c r="X2" i="1"/>
  <c r="V2" i="1"/>
  <c r="R2" i="1"/>
  <c r="P2" i="1"/>
  <c r="J2" i="1"/>
  <c r="H2" i="1"/>
  <c r="F2" i="1"/>
  <c r="D2" i="1"/>
  <c r="B2" i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" i="2"/>
  <c r="C22" i="1" l="1"/>
  <c r="E13" i="1"/>
  <c r="G13" i="1"/>
  <c r="C21" i="1"/>
  <c r="C97" i="1"/>
  <c r="C90" i="1"/>
  <c r="C86" i="1"/>
  <c r="C78" i="1"/>
  <c r="C70" i="1"/>
  <c r="C65" i="1"/>
  <c r="C28" i="1"/>
  <c r="C85" i="1"/>
  <c r="C77" i="1"/>
  <c r="C69" i="1"/>
  <c r="C61" i="1"/>
  <c r="C53" i="1"/>
  <c r="C45" i="1"/>
  <c r="C35" i="1"/>
  <c r="C27" i="1"/>
  <c r="C54" i="1"/>
  <c r="C100" i="1"/>
  <c r="C92" i="1"/>
  <c r="C76" i="1"/>
  <c r="C68" i="1"/>
  <c r="C52" i="1"/>
  <c r="C44" i="1"/>
  <c r="C34" i="1"/>
  <c r="C26" i="1"/>
  <c r="C60" i="1"/>
  <c r="C99" i="1"/>
  <c r="C91" i="1"/>
  <c r="C83" i="1"/>
  <c r="C75" i="1"/>
  <c r="C67" i="1"/>
  <c r="C59" i="1"/>
  <c r="C51" i="1"/>
  <c r="C43" i="1"/>
  <c r="C33" i="1"/>
  <c r="C25" i="1"/>
  <c r="C46" i="1"/>
  <c r="C82" i="1"/>
  <c r="C74" i="1"/>
  <c r="C66" i="1"/>
  <c r="C58" i="1"/>
  <c r="C50" i="1"/>
  <c r="C42" i="1"/>
  <c r="C32" i="1"/>
  <c r="C24" i="1"/>
  <c r="C62" i="1"/>
  <c r="C93" i="1"/>
  <c r="C89" i="1"/>
  <c r="C81" i="1"/>
  <c r="C57" i="1"/>
  <c r="C49" i="1"/>
  <c r="C41" i="1"/>
  <c r="C31" i="1"/>
  <c r="C23" i="1"/>
  <c r="C98" i="1"/>
  <c r="C73" i="1"/>
  <c r="C96" i="1"/>
  <c r="C88" i="1"/>
  <c r="C80" i="1"/>
  <c r="C72" i="1"/>
  <c r="C64" i="1"/>
  <c r="C56" i="1"/>
  <c r="C48" i="1"/>
  <c r="C40" i="1"/>
  <c r="C30" i="1"/>
  <c r="C95" i="1"/>
  <c r="C87" i="1"/>
  <c r="C79" i="1"/>
  <c r="C71" i="1"/>
  <c r="C63" i="1"/>
  <c r="C55" i="1"/>
  <c r="C47" i="1"/>
  <c r="W2" i="1" l="1"/>
  <c r="S13" i="1"/>
  <c r="W7" i="1"/>
  <c r="U11" i="1"/>
  <c r="E14" i="1"/>
  <c r="Y13" i="1"/>
  <c r="O3" i="1"/>
  <c r="Y5" i="1"/>
  <c r="M8" i="1"/>
  <c r="C6" i="1"/>
  <c r="C18" i="1"/>
  <c r="Q17" i="1"/>
  <c r="AA18" i="1"/>
  <c r="K17" i="1"/>
  <c r="AC6" i="1"/>
  <c r="G5" i="1"/>
  <c r="E5" i="1"/>
  <c r="W15" i="1"/>
  <c r="Q9" i="1"/>
  <c r="AC10" i="1"/>
  <c r="AA10" i="1"/>
  <c r="K7" i="1"/>
  <c r="E12" i="1"/>
  <c r="S11" i="1"/>
  <c r="C11" i="1"/>
  <c r="I15" i="1"/>
  <c r="K4" i="1"/>
  <c r="AC2" i="1"/>
  <c r="U5" i="1"/>
  <c r="I8" i="1"/>
  <c r="E4" i="1"/>
  <c r="W16" i="1"/>
  <c r="C12" i="1"/>
  <c r="U16" i="1"/>
  <c r="C17" i="1"/>
  <c r="E9" i="1"/>
  <c r="S14" i="1"/>
  <c r="O11" i="1"/>
  <c r="C13" i="1"/>
  <c r="O9" i="1"/>
  <c r="M9" i="1"/>
  <c r="AA9" i="1"/>
  <c r="AC15" i="1"/>
  <c r="I13" i="1"/>
  <c r="Q8" i="1"/>
  <c r="AA17" i="1"/>
  <c r="U14" i="1"/>
  <c r="M18" i="1"/>
  <c r="K18" i="1"/>
  <c r="U4" i="1"/>
  <c r="E6" i="1"/>
  <c r="C8" i="1"/>
  <c r="S4" i="1"/>
  <c r="M14" i="1"/>
  <c r="S2" i="1"/>
  <c r="C2" i="1"/>
  <c r="I5" i="1"/>
  <c r="G17" i="1"/>
  <c r="Y11" i="1"/>
  <c r="S18" i="1"/>
  <c r="M12" i="1"/>
  <c r="AA11" i="1"/>
  <c r="AA2" i="1"/>
  <c r="S5" i="1"/>
  <c r="U8" i="1"/>
  <c r="G14" i="1"/>
  <c r="AA3" i="1"/>
  <c r="K2" i="1"/>
  <c r="AA8" i="1"/>
  <c r="AA7" i="1"/>
  <c r="M6" i="1"/>
  <c r="AA13" i="1"/>
  <c r="S17" i="1"/>
  <c r="AC11" i="1"/>
  <c r="U15" i="1"/>
  <c r="O2" i="1"/>
  <c r="G6" i="1"/>
  <c r="S7" i="1"/>
  <c r="I17" i="1"/>
  <c r="Y12" i="1"/>
  <c r="M2" i="1"/>
  <c r="C10" i="1"/>
  <c r="Y3" i="1"/>
  <c r="Q7" i="1"/>
  <c r="I11" i="1"/>
  <c r="E10" i="1"/>
  <c r="Y2" i="1"/>
  <c r="Q6" i="1"/>
  <c r="I10" i="1"/>
  <c r="M7" i="1"/>
  <c r="Y17" i="1"/>
  <c r="M15" i="1"/>
  <c r="W17" i="1"/>
  <c r="K15" i="1"/>
  <c r="Q3" i="1"/>
  <c r="O18" i="1"/>
  <c r="C14" i="1"/>
  <c r="K10" i="1"/>
  <c r="Y18" i="1"/>
  <c r="K13" i="1"/>
  <c r="I9" i="1"/>
  <c r="G9" i="1"/>
  <c r="I18" i="1"/>
  <c r="AA5" i="1"/>
  <c r="S9" i="1"/>
  <c r="AC3" i="1"/>
  <c r="U7" i="1"/>
  <c r="M11" i="1"/>
  <c r="E15" i="1"/>
  <c r="Q16" i="1"/>
  <c r="G15" i="1"/>
  <c r="Y4" i="1"/>
  <c r="K11" i="1"/>
  <c r="I14" i="1"/>
  <c r="W12" i="1"/>
  <c r="O16" i="1"/>
  <c r="I3" i="1"/>
  <c r="Q5" i="1"/>
  <c r="E2" i="1"/>
  <c r="W11" i="1"/>
  <c r="O15" i="1"/>
  <c r="I2" i="1"/>
  <c r="G18" i="1"/>
  <c r="Y9" i="1"/>
  <c r="K8" i="1"/>
  <c r="W9" i="1"/>
  <c r="AA14" i="1"/>
  <c r="M5" i="1"/>
  <c r="O13" i="1"/>
  <c r="W14" i="1"/>
  <c r="U6" i="1"/>
  <c r="C7" i="1"/>
  <c r="K9" i="1"/>
  <c r="AC4" i="1"/>
  <c r="W6" i="1"/>
  <c r="S15" i="1"/>
  <c r="M10" i="1"/>
  <c r="Y10" i="1"/>
  <c r="C16" i="1"/>
  <c r="Q11" i="1"/>
  <c r="Y14" i="1"/>
  <c r="Q18" i="1"/>
  <c r="AA12" i="1"/>
  <c r="S16" i="1"/>
  <c r="M3" i="1"/>
  <c r="E7" i="1"/>
  <c r="O17" i="1"/>
  <c r="C4" i="1"/>
  <c r="W13" i="1"/>
  <c r="K3" i="1"/>
  <c r="AC17" i="1"/>
  <c r="W4" i="1"/>
  <c r="O8" i="1"/>
  <c r="G12" i="1"/>
  <c r="O6" i="1"/>
  <c r="AC16" i="1"/>
  <c r="W3" i="1"/>
  <c r="O7" i="1"/>
  <c r="G11" i="1"/>
  <c r="G2" i="1"/>
  <c r="W18" i="1"/>
  <c r="G10" i="1"/>
  <c r="U10" i="1"/>
  <c r="Y15" i="1"/>
  <c r="K6" i="1"/>
  <c r="S6" i="1"/>
  <c r="AC7" i="1"/>
  <c r="AA15" i="1"/>
  <c r="O10" i="1"/>
  <c r="Q15" i="1"/>
  <c r="C15" i="1"/>
  <c r="Q14" i="1"/>
  <c r="Q13" i="1"/>
  <c r="Y6" i="1"/>
  <c r="Q2" i="1"/>
  <c r="AA4" i="1"/>
  <c r="S8" i="1"/>
  <c r="K12" i="1"/>
  <c r="C5" i="1"/>
  <c r="I12" i="1"/>
  <c r="AC18" i="1"/>
  <c r="W5" i="1"/>
  <c r="I4" i="1"/>
  <c r="AC9" i="1"/>
  <c r="U13" i="1"/>
  <c r="M17" i="1"/>
  <c r="G4" i="1"/>
  <c r="K16" i="1"/>
  <c r="AC8" i="1"/>
  <c r="U12" i="1"/>
  <c r="M16" i="1"/>
  <c r="G3" i="1"/>
  <c r="E3" i="1"/>
  <c r="W10" i="1"/>
  <c r="E18" i="1"/>
  <c r="U2" i="1"/>
  <c r="Y7" i="1"/>
  <c r="O14" i="1"/>
  <c r="AC14" i="1"/>
  <c r="U18" i="1"/>
  <c r="O5" i="1"/>
  <c r="AA6" i="1"/>
  <c r="S10" i="1"/>
  <c r="K14" i="1"/>
  <c r="C3" i="1"/>
  <c r="M4" i="1"/>
  <c r="I6" i="1"/>
  <c r="K5" i="1"/>
  <c r="C29" i="1"/>
  <c r="C36" i="1"/>
  <c r="I7" i="1"/>
  <c r="AC12" i="1"/>
  <c r="G7" i="1"/>
  <c r="E16" i="1"/>
  <c r="AA16" i="1"/>
  <c r="U3" i="1"/>
  <c r="E11" i="1"/>
  <c r="Y16" i="1"/>
  <c r="S3" i="1"/>
  <c r="E8" i="1"/>
  <c r="W8" i="1"/>
  <c r="O12" i="1"/>
  <c r="G16" i="1"/>
  <c r="Q10" i="1"/>
  <c r="S12" i="1"/>
  <c r="C9" i="1"/>
  <c r="Y8" i="1"/>
  <c r="Q12" i="1"/>
  <c r="AC13" i="1"/>
  <c r="U17" i="1"/>
  <c r="O4" i="1"/>
  <c r="G8" i="1"/>
  <c r="I16" i="1"/>
  <c r="Q4" i="1"/>
  <c r="AC5" i="1"/>
  <c r="U9" i="1"/>
  <c r="M13" i="1"/>
  <c r="E17" i="1"/>
  <c r="C94" i="1"/>
  <c r="C84" i="1"/>
</calcChain>
</file>

<file path=xl/sharedStrings.xml><?xml version="1.0" encoding="utf-8"?>
<sst xmlns="http://schemas.openxmlformats.org/spreadsheetml/2006/main" count="589" uniqueCount="227">
  <si>
    <t>Tonnage</t>
  </si>
  <si>
    <t>20 tons</t>
  </si>
  <si>
    <t>30 tons</t>
  </si>
  <si>
    <t>40 tons</t>
  </si>
  <si>
    <t>50 tons</t>
  </si>
  <si>
    <t>60 tons</t>
  </si>
  <si>
    <t>70 tons</t>
  </si>
  <si>
    <t>80 tons</t>
  </si>
  <si>
    <t>90 tons</t>
  </si>
  <si>
    <t>55 tons</t>
  </si>
  <si>
    <t>25 tons</t>
  </si>
  <si>
    <t>35 tons</t>
  </si>
  <si>
    <t>45 tons</t>
  </si>
  <si>
    <t>65 tons</t>
  </si>
  <si>
    <t>75 tons</t>
  </si>
  <si>
    <t>85 tons</t>
  </si>
  <si>
    <t>95 tons</t>
  </si>
  <si>
    <t>100 tons</t>
  </si>
  <si>
    <t>Weapon</t>
  </si>
  <si>
    <t>Small Laser</t>
  </si>
  <si>
    <t>Medium Laser</t>
  </si>
  <si>
    <t>Large Laser</t>
  </si>
  <si>
    <t>PPC</t>
  </si>
  <si>
    <t>AC/5</t>
  </si>
  <si>
    <t>AC/2</t>
  </si>
  <si>
    <t>AC.5</t>
  </si>
  <si>
    <t>AC/10</t>
  </si>
  <si>
    <t>AC/20</t>
  </si>
  <si>
    <t>Machiune Gun</t>
  </si>
  <si>
    <t>Engine</t>
  </si>
  <si>
    <t>/part/name</t>
  </si>
  <si>
    <t>/part/unitTonnage</t>
  </si>
  <si>
    <t>Upper Arm Actuator</t>
  </si>
  <si>
    <t>Lower Arm Actuator</t>
  </si>
  <si>
    <t>Hand Actuator</t>
  </si>
  <si>
    <t>Upper Leg Actuator</t>
  </si>
  <si>
    <t>Foot Actuator</t>
  </si>
  <si>
    <t>Mech Life Support System</t>
  </si>
  <si>
    <t>Mech Sensors</t>
  </si>
  <si>
    <t>Lower Leg Actuator</t>
  </si>
  <si>
    <t>Spacecraft Cooling System</t>
  </si>
  <si>
    <t>Vehicle Stabiliser</t>
  </si>
  <si>
    <t>Vehicle Sensors</t>
  </si>
  <si>
    <t>Mech Head</t>
  </si>
  <si>
    <t>Mech Right Leg</t>
  </si>
  <si>
    <t>Mech Left Leg</t>
  </si>
  <si>
    <t>Mech Right Arm</t>
  </si>
  <si>
    <t>Mech Left Arm</t>
  </si>
  <si>
    <t>Mech Right Torso</t>
  </si>
  <si>
    <t>Mech Left Torso</t>
  </si>
  <si>
    <t>Jump Jet</t>
  </si>
  <si>
    <t>Machine Gun</t>
  </si>
  <si>
    <t>Flamer</t>
  </si>
  <si>
    <t>Standard Gyro</t>
  </si>
  <si>
    <t>SRM 2</t>
  </si>
  <si>
    <t>Heat Sink</t>
  </si>
  <si>
    <t>SRM 4</t>
  </si>
  <si>
    <t>LRM 5</t>
  </si>
  <si>
    <t>Half Machine Gun Ammo</t>
  </si>
  <si>
    <t>30 ICE [Vehicle] Engine</t>
  </si>
  <si>
    <t>Standard Cockpit</t>
  </si>
  <si>
    <t>SRM 6</t>
  </si>
  <si>
    <t>AC/5 Ammo</t>
  </si>
  <si>
    <t>LRM 10</t>
  </si>
  <si>
    <t>180 Fusion Engine</t>
  </si>
  <si>
    <t>LRM 20 Ammo</t>
  </si>
  <si>
    <t>BAR 7 armor (D)</t>
  </si>
  <si>
    <t>LRM 20</t>
  </si>
  <si>
    <t>LRM 5 Ammo</t>
  </si>
  <si>
    <t>Machine Gun Ammo</t>
  </si>
  <si>
    <t>SRM 2 Ammo</t>
  </si>
  <si>
    <t>SRM 4 Ammo</t>
  </si>
  <si>
    <t>SRM 6 Ammo</t>
  </si>
  <si>
    <t>180 ICE [Vehicle] Engine</t>
  </si>
  <si>
    <t>200 ICE [Vehicle] Engine</t>
  </si>
  <si>
    <t>LRM 10 Ammo</t>
  </si>
  <si>
    <t>240 ICE [Vehicle] Engine</t>
  </si>
  <si>
    <t>250 ICE [Vehicle] Engine</t>
  </si>
  <si>
    <t>Armor (Standard Aerospace)</t>
  </si>
  <si>
    <t>Armor (Standard)</t>
  </si>
  <si>
    <t>Mech Gyro</t>
  </si>
  <si>
    <t>100 Fusion Engine</t>
  </si>
  <si>
    <t>105 Fusion Engine</t>
  </si>
  <si>
    <t>110 Fusion Engine</t>
  </si>
  <si>
    <t>115 Fusion Engine</t>
  </si>
  <si>
    <t>120 Fusion Engine</t>
  </si>
  <si>
    <t>125 Fusion Engine</t>
  </si>
  <si>
    <t>130 Fusion Engine</t>
  </si>
  <si>
    <t>135 Fusion Engine</t>
  </si>
  <si>
    <t>140 Fusion Engine</t>
  </si>
  <si>
    <t>145 Fusion Engine</t>
  </si>
  <si>
    <t>150 Fusion Engine</t>
  </si>
  <si>
    <t>155 Fusion Engine</t>
  </si>
  <si>
    <t>160 Fusion Engine</t>
  </si>
  <si>
    <t>165 Fusion Engine</t>
  </si>
  <si>
    <t>170 Fusion Engine</t>
  </si>
  <si>
    <t>175 Fusion Engine</t>
  </si>
  <si>
    <t>185 Fusion Engine</t>
  </si>
  <si>
    <t>190 Fusion Engine</t>
  </si>
  <si>
    <t>195 Fusion Engine</t>
  </si>
  <si>
    <t>200 Fusion Engine</t>
  </si>
  <si>
    <t>205 Fusion Engine</t>
  </si>
  <si>
    <t>210 Fusion Engine</t>
  </si>
  <si>
    <t>215 Fusion Engine</t>
  </si>
  <si>
    <t>220 Fusion Engine</t>
  </si>
  <si>
    <t>225 Fusion Engine</t>
  </si>
  <si>
    <t>230 Fusion Engine</t>
  </si>
  <si>
    <t>235 Fusion Engine</t>
  </si>
  <si>
    <t>240 Fusion Engine</t>
  </si>
  <si>
    <t>245 Fusion Engine</t>
  </si>
  <si>
    <t>250 Fusion Engine</t>
  </si>
  <si>
    <t>255 Fusion Engine</t>
  </si>
  <si>
    <t>260 Fusion Engine</t>
  </si>
  <si>
    <t>265 Fusion Engine</t>
  </si>
  <si>
    <t>270 Fusion Engine</t>
  </si>
  <si>
    <t>275 Fusion Engine</t>
  </si>
  <si>
    <t>280 Fusion Engine</t>
  </si>
  <si>
    <t>285 Fusion Engine</t>
  </si>
  <si>
    <t>290 Fusion Engine</t>
  </si>
  <si>
    <t>295 Fusion Engine</t>
  </si>
  <si>
    <t>300 Fusion Engine</t>
  </si>
  <si>
    <t>305 Fusion Engine</t>
  </si>
  <si>
    <t>310 Fusion Engine</t>
  </si>
  <si>
    <t>315 Fusion Engine</t>
  </si>
  <si>
    <t>320 Fusion Engine</t>
  </si>
  <si>
    <t>325 Fusion Engine</t>
  </si>
  <si>
    <t>330 Fusion Engine</t>
  </si>
  <si>
    <t>335 Fusion Engine</t>
  </si>
  <si>
    <t>340 Fusion Engine</t>
  </si>
  <si>
    <t>345 Fusion Engine</t>
  </si>
  <si>
    <t>350 Fusion Engine</t>
  </si>
  <si>
    <t>355 Fusion Engine</t>
  </si>
  <si>
    <t>360 Fusion Engine</t>
  </si>
  <si>
    <t>365 Fusion Engine</t>
  </si>
  <si>
    <t>370 Fusion Engine</t>
  </si>
  <si>
    <t>375 Fusion Engine</t>
  </si>
  <si>
    <t>380 Fusion Engine</t>
  </si>
  <si>
    <t>385 Fusion Engine</t>
  </si>
  <si>
    <t>390 Fusion Engine</t>
  </si>
  <si>
    <t>395 Fusion Engine</t>
  </si>
  <si>
    <t>400 Fusion Engine</t>
  </si>
  <si>
    <t>Unit</t>
  </si>
  <si>
    <t>Upper Leg Actator</t>
  </si>
  <si>
    <t>Lower Leg Actutor</t>
  </si>
  <si>
    <t>Weapons</t>
  </si>
  <si>
    <t>LRM 15</t>
  </si>
  <si>
    <t>In Use</t>
  </si>
  <si>
    <t>Heat Sinks</t>
  </si>
  <si>
    <t>#</t>
  </si>
  <si>
    <t>Name</t>
  </si>
  <si>
    <t>Type</t>
  </si>
  <si>
    <t>Class</t>
  </si>
  <si>
    <t>Tech</t>
  </si>
  <si>
    <t>Weight</t>
  </si>
  <si>
    <t>Value</t>
  </si>
  <si>
    <t>Lightning LTN-G15</t>
  </si>
  <si>
    <t>Aerospace Fighter</t>
  </si>
  <si>
    <t>Medium</t>
  </si>
  <si>
    <t>IS TW non-box set</t>
  </si>
  <si>
    <t>Stingray F-90</t>
  </si>
  <si>
    <t>Boomerang Spotter Plane</t>
  </si>
  <si>
    <t>Conventional Fighter</t>
  </si>
  <si>
    <t>Small Support Vehicle</t>
  </si>
  <si>
    <t>Leopard (Black Swan Mk III) - The Black Swan</t>
  </si>
  <si>
    <t>Dropship</t>
  </si>
  <si>
    <t>Small Dropship</t>
  </si>
  <si>
    <t>Union (2708)</t>
  </si>
  <si>
    <t>Medium Dropship</t>
  </si>
  <si>
    <t>Gazelle (Heavy Vehicle) Mk II</t>
  </si>
  <si>
    <t>Jump Platoon (Rifle)</t>
  </si>
  <si>
    <t>Infantry</t>
  </si>
  <si>
    <t>Light</t>
  </si>
  <si>
    <t>Jump Platoon (SRM)</t>
  </si>
  <si>
    <t>Jump Platoon (Flamer)</t>
  </si>
  <si>
    <t>Jump Platoon (Rifle) #2</t>
  </si>
  <si>
    <t>Foot Platoon (Laser Marine)</t>
  </si>
  <si>
    <t>IS advanced</t>
  </si>
  <si>
    <t>Foot Platoon (Laser Marine) #2</t>
  </si>
  <si>
    <t>Foot Platoon (Laser Marine) #3</t>
  </si>
  <si>
    <t>Javelin JVN-10F 'Fire Javelin'</t>
  </si>
  <si>
    <t>Mek</t>
  </si>
  <si>
    <t>IS Introductory Box Set</t>
  </si>
  <si>
    <t>Hunchback HBK-4P</t>
  </si>
  <si>
    <t>Griffin GRF-1S</t>
  </si>
  <si>
    <t>Black Knight BL-7-KNT-L</t>
  </si>
  <si>
    <t>Heavy</t>
  </si>
  <si>
    <t>Grasshopper GHR-5H</t>
  </si>
  <si>
    <t>Stalker STK-4N</t>
  </si>
  <si>
    <t>Assault</t>
  </si>
  <si>
    <t>Hunchback HBK-4P #2</t>
  </si>
  <si>
    <t>Thunderbolt TDR-5SS</t>
  </si>
  <si>
    <t>Rifleman RFL-3N</t>
  </si>
  <si>
    <t>Thunderbolt TDR-5SS #2</t>
  </si>
  <si>
    <t>Cicada CDA-3C</t>
  </si>
  <si>
    <t>Trebuchet TBT-5S</t>
  </si>
  <si>
    <t>Stalker STK-3F</t>
  </si>
  <si>
    <t>Spider SDR-5V</t>
  </si>
  <si>
    <t>Shadow Hawk SHD-2K</t>
  </si>
  <si>
    <t>Crab CRB-20</t>
  </si>
  <si>
    <t>Javelin JVN-10N</t>
  </si>
  <si>
    <t>Stinger LAM STG-A5</t>
  </si>
  <si>
    <t>MASH Truck (ICE)</t>
  </si>
  <si>
    <t>Tank</t>
  </si>
  <si>
    <t>Heavy BattleMech Recovery Vehicle</t>
  </si>
  <si>
    <t>Partisan Heavy Tank</t>
  </si>
  <si>
    <t>Partisan Heavy Tank #2</t>
  </si>
  <si>
    <t>Partisan Heavy Tank #3</t>
  </si>
  <si>
    <t>Maxim Heavy Hover Transport</t>
  </si>
  <si>
    <t>Pegasus Scout Hover Tank</t>
  </si>
  <si>
    <t>Manticore Heavy Tank</t>
  </si>
  <si>
    <t>Partisan Heavy Tank (LRM)</t>
  </si>
  <si>
    <t>Mobile Long Tom Artillery LT-MOB-25</t>
  </si>
  <si>
    <t>Mobile Long Tom Artillery LT-MOB-25 (Ammunition Carriage)</t>
  </si>
  <si>
    <t>Mobile Long Tom Artillery LT-MOB-25 (Support Carriage)</t>
  </si>
  <si>
    <t>Maxim Heavy Hover Transport (SRM4)</t>
  </si>
  <si>
    <t>Maxim Heavy Hover Transport #2</t>
  </si>
  <si>
    <t>LRM Carrier</t>
  </si>
  <si>
    <t>Maxim Heavy Hover Transport #3</t>
  </si>
  <si>
    <t>Manticore Heavy Tank #2</t>
  </si>
  <si>
    <t>Strike Falcon Attack VTOL</t>
  </si>
  <si>
    <t>VTOL</t>
  </si>
  <si>
    <t>Medium Support Vehicle</t>
  </si>
  <si>
    <t>Strike Falcon Attack VTOL #2</t>
  </si>
  <si>
    <t>Strike Falcon Attack VTOL #3</t>
  </si>
  <si>
    <t>Warrior Attack Helicopter H-7A</t>
  </si>
  <si>
    <t>Warrior Attack Helicopter H-7A #2</t>
  </si>
  <si>
    <t>Warrior Attack Helicopter H-7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</si>
</sst>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([$$-409]* #,##0.00_);_([$$-409]* \(#,##0.00\);_([$$-409]* &quot;-&quot;??_);_(@_)"/>
  </numFmts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7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2" borderId="0" xfId="0" applyFont="1" applyFill="1"/>
    <xf numFmtId="0" fontId="2" fillId="0" borderId="0" xfId="0" applyFont="1" applyAlignment="1">
      <alignment horizontal="center" textRotation="90"/>
    </xf>
    <xf numFmtId="0" fontId="2" fillId="3" borderId="0" xfId="0" applyFont="1" applyFill="1"/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3" borderId="0" xfId="0" applyFont="1" applyFill="1" applyAlignment="1">
      <alignment horizontal="center" vertical="center" textRotation="90" wrapText="1"/>
    </xf>
    <xf numFmtId="49" fontId="0" fillId="0" borderId="0" xfId="0" applyNumberFormat="1"/>
    <xf numFmtId="49" fontId="2" fillId="0" borderId="0" xfId="0" applyNumberFormat="1" applyFont="1"/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B1A01-F0F4-8647-B28B-088A247B75EA}">
  <dimension ref="A1:F55"/>
  <sheetViews>
    <sheetView workbookViewId="0">
      <selection activeCell="C10" sqref="C10"/>
    </sheetView>
  </sheetViews>
  <sheetFormatPr baseColWidth="10" defaultRowHeight="16" x14ac:dyDescent="0.2"/>
  <cols>
    <col min="1" max="1" width="50.1640625" bestFit="1" customWidth="1"/>
    <col min="2" max="2" width="18.1640625" style="2" bestFit="1" customWidth="1"/>
    <col min="3" max="3" width="20.83203125" style="2" bestFit="1" customWidth="1"/>
    <col min="4" max="4" width="19.5" style="2" bestFit="1" customWidth="1"/>
    <col min="5" max="5" width="10.83203125" style="2"/>
    <col min="6" max="6" width="16" style="19" bestFit="1" customWidth="1"/>
  </cols>
  <sheetData>
    <row r="1" spans="1:6" x14ac:dyDescent="0.2">
      <c r="A1" s="14" t="s">
        <v>149</v>
      </c>
      <c r="B1" s="15" t="s">
        <v>150</v>
      </c>
      <c r="C1" s="15" t="s">
        <v>151</v>
      </c>
      <c r="D1" s="15" t="s">
        <v>152</v>
      </c>
      <c r="E1" s="15" t="s">
        <v>153</v>
      </c>
      <c r="F1" s="16" t="s">
        <v>154</v>
      </c>
    </row>
    <row r="2" spans="1:6" x14ac:dyDescent="0.2">
      <c r="A2" s="13" t="s">
        <v>155</v>
      </c>
      <c r="B2" s="17" t="s">
        <v>156</v>
      </c>
      <c r="C2" s="17" t="s">
        <v>157</v>
      </c>
      <c r="D2" s="17" t="s">
        <v>158</v>
      </c>
      <c r="E2" s="18">
        <v>50</v>
      </c>
      <c r="F2" s="19">
        <v>1845438</v>
      </c>
    </row>
    <row r="3" spans="1:6" x14ac:dyDescent="0.2">
      <c r="A3" s="13" t="s">
        <v>159</v>
      </c>
      <c r="B3" s="17" t="s">
        <v>156</v>
      </c>
      <c r="C3" s="17" t="s">
        <v>157</v>
      </c>
      <c r="D3" s="17" t="s">
        <v>158</v>
      </c>
      <c r="E3" s="18">
        <v>60</v>
      </c>
      <c r="F3" s="19">
        <v>2340182</v>
      </c>
    </row>
    <row r="4" spans="1:6" x14ac:dyDescent="0.2">
      <c r="A4" s="13" t="s">
        <v>160</v>
      </c>
      <c r="B4" s="17" t="s">
        <v>161</v>
      </c>
      <c r="C4" s="17" t="s">
        <v>162</v>
      </c>
      <c r="D4" s="17" t="s">
        <v>158</v>
      </c>
      <c r="E4" s="18">
        <v>4.9989999999999997</v>
      </c>
      <c r="F4" s="19">
        <v>59439</v>
      </c>
    </row>
    <row r="5" spans="1:6" x14ac:dyDescent="0.2">
      <c r="A5" s="13" t="s">
        <v>163</v>
      </c>
      <c r="B5" s="17" t="s">
        <v>164</v>
      </c>
      <c r="C5" s="17" t="s">
        <v>165</v>
      </c>
      <c r="D5" s="17" t="s">
        <v>158</v>
      </c>
      <c r="E5" s="18">
        <v>1900</v>
      </c>
      <c r="F5" s="19">
        <v>148102200</v>
      </c>
    </row>
    <row r="6" spans="1:6" x14ac:dyDescent="0.2">
      <c r="A6" s="13" t="s">
        <v>166</v>
      </c>
      <c r="B6" s="17" t="s">
        <v>164</v>
      </c>
      <c r="C6" s="17" t="s">
        <v>167</v>
      </c>
      <c r="D6" s="17" t="s">
        <v>158</v>
      </c>
      <c r="E6" s="18">
        <v>3600</v>
      </c>
      <c r="F6" s="19">
        <v>166299000</v>
      </c>
    </row>
    <row r="7" spans="1:6" x14ac:dyDescent="0.2">
      <c r="A7" s="13" t="s">
        <v>168</v>
      </c>
      <c r="B7" s="17" t="s">
        <v>164</v>
      </c>
      <c r="C7" s="17" t="s">
        <v>167</v>
      </c>
      <c r="D7" s="17" t="s">
        <v>158</v>
      </c>
      <c r="E7" s="18">
        <v>2900</v>
      </c>
      <c r="F7" s="19">
        <v>146882844</v>
      </c>
    </row>
    <row r="8" spans="1:6" x14ac:dyDescent="0.2">
      <c r="A8" s="13" t="s">
        <v>169</v>
      </c>
      <c r="B8" s="17" t="s">
        <v>170</v>
      </c>
      <c r="C8" s="17" t="s">
        <v>171</v>
      </c>
      <c r="D8" s="17" t="s">
        <v>158</v>
      </c>
      <c r="E8" s="18">
        <v>4</v>
      </c>
      <c r="F8" s="19">
        <v>3917659</v>
      </c>
    </row>
    <row r="9" spans="1:6" x14ac:dyDescent="0.2">
      <c r="A9" s="13" t="s">
        <v>172</v>
      </c>
      <c r="B9" s="17" t="s">
        <v>170</v>
      </c>
      <c r="C9" s="17" t="s">
        <v>171</v>
      </c>
      <c r="D9" s="17" t="s">
        <v>158</v>
      </c>
      <c r="E9" s="18">
        <v>3.5</v>
      </c>
      <c r="F9" s="19">
        <v>3471874</v>
      </c>
    </row>
    <row r="10" spans="1:6" x14ac:dyDescent="0.2">
      <c r="A10" s="13" t="s">
        <v>173</v>
      </c>
      <c r="B10" s="17" t="s">
        <v>170</v>
      </c>
      <c r="C10" s="17" t="s">
        <v>171</v>
      </c>
      <c r="D10" s="17" t="s">
        <v>158</v>
      </c>
      <c r="E10" s="18">
        <v>4</v>
      </c>
      <c r="F10" s="19">
        <v>3918439</v>
      </c>
    </row>
    <row r="11" spans="1:6" x14ac:dyDescent="0.2">
      <c r="A11" s="13" t="s">
        <v>174</v>
      </c>
      <c r="B11" s="17" t="s">
        <v>170</v>
      </c>
      <c r="C11" s="17" t="s">
        <v>171</v>
      </c>
      <c r="D11" s="17" t="s">
        <v>158</v>
      </c>
      <c r="E11" s="18">
        <v>4</v>
      </c>
      <c r="F11" s="19">
        <v>3917659</v>
      </c>
    </row>
    <row r="12" spans="1:6" x14ac:dyDescent="0.2">
      <c r="A12" s="13" t="s">
        <v>175</v>
      </c>
      <c r="B12" s="17" t="s">
        <v>170</v>
      </c>
      <c r="C12" s="17" t="s">
        <v>171</v>
      </c>
      <c r="D12" s="17" t="s">
        <v>176</v>
      </c>
      <c r="E12" s="18">
        <v>2.5</v>
      </c>
      <c r="F12" s="19">
        <v>370440</v>
      </c>
    </row>
    <row r="13" spans="1:6" x14ac:dyDescent="0.2">
      <c r="A13" s="13" t="s">
        <v>177</v>
      </c>
      <c r="B13" s="17" t="s">
        <v>170</v>
      </c>
      <c r="C13" s="17" t="s">
        <v>171</v>
      </c>
      <c r="D13" s="17" t="s">
        <v>176</v>
      </c>
      <c r="E13" s="18">
        <v>2.5</v>
      </c>
      <c r="F13" s="19">
        <v>370440</v>
      </c>
    </row>
    <row r="14" spans="1:6" x14ac:dyDescent="0.2">
      <c r="A14" s="13" t="s">
        <v>178</v>
      </c>
      <c r="B14" s="17" t="s">
        <v>170</v>
      </c>
      <c r="C14" s="17" t="s">
        <v>171</v>
      </c>
      <c r="D14" s="17" t="s">
        <v>176</v>
      </c>
      <c r="E14" s="18">
        <v>2.5</v>
      </c>
      <c r="F14" s="19">
        <v>370440</v>
      </c>
    </row>
    <row r="15" spans="1:6" x14ac:dyDescent="0.2">
      <c r="A15" s="13" t="s">
        <v>179</v>
      </c>
      <c r="B15" s="17" t="s">
        <v>180</v>
      </c>
      <c r="C15" s="17" t="s">
        <v>171</v>
      </c>
      <c r="D15" s="17" t="s">
        <v>181</v>
      </c>
      <c r="E15" s="18">
        <v>30</v>
      </c>
      <c r="F15" s="19">
        <v>1905228</v>
      </c>
    </row>
    <row r="16" spans="1:6" x14ac:dyDescent="0.2">
      <c r="A16" s="13" t="s">
        <v>182</v>
      </c>
      <c r="B16" s="17" t="s">
        <v>180</v>
      </c>
      <c r="C16" s="17" t="s">
        <v>157</v>
      </c>
      <c r="D16" s="17" t="s">
        <v>181</v>
      </c>
      <c r="E16" s="18">
        <v>50</v>
      </c>
      <c r="F16" s="19">
        <v>3013088</v>
      </c>
    </row>
    <row r="17" spans="1:6" x14ac:dyDescent="0.2">
      <c r="A17" s="13" t="s">
        <v>183</v>
      </c>
      <c r="B17" s="17" t="s">
        <v>180</v>
      </c>
      <c r="C17" s="17" t="s">
        <v>157</v>
      </c>
      <c r="D17" s="17" t="s">
        <v>181</v>
      </c>
      <c r="E17" s="18">
        <v>55</v>
      </c>
      <c r="F17" s="19">
        <v>3949338</v>
      </c>
    </row>
    <row r="18" spans="1:6" x14ac:dyDescent="0.2">
      <c r="A18" s="13" t="s">
        <v>184</v>
      </c>
      <c r="B18" s="17" t="s">
        <v>180</v>
      </c>
      <c r="C18" s="17" t="s">
        <v>185</v>
      </c>
      <c r="D18" s="17" t="s">
        <v>181</v>
      </c>
      <c r="E18" s="18">
        <v>75</v>
      </c>
      <c r="F18" s="19">
        <v>5720794</v>
      </c>
    </row>
    <row r="19" spans="1:6" x14ac:dyDescent="0.2">
      <c r="A19" s="13" t="s">
        <v>186</v>
      </c>
      <c r="B19" s="17" t="s">
        <v>180</v>
      </c>
      <c r="C19" s="17" t="s">
        <v>185</v>
      </c>
      <c r="D19" s="17" t="s">
        <v>181</v>
      </c>
      <c r="E19" s="18">
        <v>70</v>
      </c>
      <c r="F19" s="19">
        <v>5090208</v>
      </c>
    </row>
    <row r="20" spans="1:6" x14ac:dyDescent="0.2">
      <c r="A20" s="13" t="s">
        <v>187</v>
      </c>
      <c r="B20" s="17" t="s">
        <v>180</v>
      </c>
      <c r="C20" s="17" t="s">
        <v>188</v>
      </c>
      <c r="D20" s="17" t="s">
        <v>181</v>
      </c>
      <c r="E20" s="18">
        <v>85</v>
      </c>
      <c r="F20" s="19">
        <v>6415857</v>
      </c>
    </row>
    <row r="21" spans="1:6" x14ac:dyDescent="0.2">
      <c r="A21" s="13" t="s">
        <v>189</v>
      </c>
      <c r="B21" s="17" t="s">
        <v>180</v>
      </c>
      <c r="C21" s="17" t="s">
        <v>157</v>
      </c>
      <c r="D21" s="17" t="s">
        <v>181</v>
      </c>
      <c r="E21" s="18">
        <v>50</v>
      </c>
      <c r="F21" s="19">
        <v>3013088</v>
      </c>
    </row>
    <row r="22" spans="1:6" x14ac:dyDescent="0.2">
      <c r="A22" s="13" t="s">
        <v>190</v>
      </c>
      <c r="B22" s="17" t="s">
        <v>180</v>
      </c>
      <c r="C22" s="17" t="s">
        <v>185</v>
      </c>
      <c r="D22" s="17" t="s">
        <v>181</v>
      </c>
      <c r="E22" s="18">
        <v>65</v>
      </c>
      <c r="F22" s="19">
        <v>4648387</v>
      </c>
    </row>
    <row r="23" spans="1:6" x14ac:dyDescent="0.2">
      <c r="A23" s="13" t="s">
        <v>191</v>
      </c>
      <c r="B23" s="17" t="s">
        <v>180</v>
      </c>
      <c r="C23" s="17" t="s">
        <v>185</v>
      </c>
      <c r="D23" s="17" t="s">
        <v>181</v>
      </c>
      <c r="E23" s="18">
        <v>60</v>
      </c>
      <c r="F23" s="19">
        <v>4214512</v>
      </c>
    </row>
    <row r="24" spans="1:6" x14ac:dyDescent="0.2">
      <c r="A24" s="13" t="s">
        <v>192</v>
      </c>
      <c r="B24" s="17" t="s">
        <v>180</v>
      </c>
      <c r="C24" s="17" t="s">
        <v>185</v>
      </c>
      <c r="D24" s="17" t="s">
        <v>181</v>
      </c>
      <c r="E24" s="18">
        <v>65</v>
      </c>
      <c r="F24" s="19">
        <v>4214165</v>
      </c>
    </row>
    <row r="25" spans="1:6" x14ac:dyDescent="0.2">
      <c r="A25" s="13" t="s">
        <v>193</v>
      </c>
      <c r="B25" s="17" t="s">
        <v>180</v>
      </c>
      <c r="C25" s="17" t="s">
        <v>157</v>
      </c>
      <c r="D25" s="17" t="s">
        <v>181</v>
      </c>
      <c r="E25" s="18">
        <v>40</v>
      </c>
      <c r="F25" s="19">
        <v>2821413</v>
      </c>
    </row>
    <row r="26" spans="1:6" x14ac:dyDescent="0.2">
      <c r="A26" s="13" t="s">
        <v>194</v>
      </c>
      <c r="B26" s="17" t="s">
        <v>180</v>
      </c>
      <c r="C26" s="17" t="s">
        <v>157</v>
      </c>
      <c r="D26" s="17" t="s">
        <v>181</v>
      </c>
      <c r="E26" s="18">
        <v>50</v>
      </c>
      <c r="F26" s="19">
        <v>3559244</v>
      </c>
    </row>
    <row r="27" spans="1:6" x14ac:dyDescent="0.2">
      <c r="A27" s="13" t="s">
        <v>195</v>
      </c>
      <c r="B27" s="17" t="s">
        <v>180</v>
      </c>
      <c r="C27" s="17" t="s">
        <v>188</v>
      </c>
      <c r="D27" s="17" t="s">
        <v>181</v>
      </c>
      <c r="E27" s="18">
        <v>85</v>
      </c>
      <c r="F27" s="19">
        <v>6559090</v>
      </c>
    </row>
    <row r="28" spans="1:6" x14ac:dyDescent="0.2">
      <c r="A28" s="13" t="s">
        <v>196</v>
      </c>
      <c r="B28" s="17" t="s">
        <v>180</v>
      </c>
      <c r="C28" s="17" t="s">
        <v>171</v>
      </c>
      <c r="D28" s="17" t="s">
        <v>181</v>
      </c>
      <c r="E28" s="18">
        <v>30</v>
      </c>
      <c r="F28" s="19">
        <v>2278458</v>
      </c>
    </row>
    <row r="29" spans="1:6" x14ac:dyDescent="0.2">
      <c r="A29" s="13" t="s">
        <v>197</v>
      </c>
      <c r="B29" s="17" t="s">
        <v>180</v>
      </c>
      <c r="C29" s="17" t="s">
        <v>157</v>
      </c>
      <c r="D29" s="17" t="s">
        <v>181</v>
      </c>
      <c r="E29" s="18">
        <v>55</v>
      </c>
      <c r="F29" s="19">
        <v>2667431</v>
      </c>
    </row>
    <row r="30" spans="1:6" x14ac:dyDescent="0.2">
      <c r="A30" s="13" t="s">
        <v>198</v>
      </c>
      <c r="B30" s="17" t="s">
        <v>180</v>
      </c>
      <c r="C30" s="17" t="s">
        <v>157</v>
      </c>
      <c r="D30" s="17" t="s">
        <v>181</v>
      </c>
      <c r="E30" s="18">
        <v>50</v>
      </c>
      <c r="F30" s="19">
        <v>3486488</v>
      </c>
    </row>
    <row r="31" spans="1:6" x14ac:dyDescent="0.2">
      <c r="A31" s="13" t="s">
        <v>199</v>
      </c>
      <c r="B31" s="17" t="s">
        <v>180</v>
      </c>
      <c r="C31" s="17" t="s">
        <v>171</v>
      </c>
      <c r="D31" s="17" t="s">
        <v>181</v>
      </c>
      <c r="E31" s="18">
        <v>30</v>
      </c>
      <c r="F31" s="19">
        <v>1143050</v>
      </c>
    </row>
    <row r="32" spans="1:6" x14ac:dyDescent="0.2">
      <c r="A32" s="13" t="s">
        <v>200</v>
      </c>
      <c r="B32" s="17" t="s">
        <v>180</v>
      </c>
      <c r="C32" s="17" t="s">
        <v>171</v>
      </c>
      <c r="D32" s="17" t="s">
        <v>176</v>
      </c>
      <c r="E32" s="18">
        <v>30</v>
      </c>
      <c r="F32" s="19">
        <v>1163513</v>
      </c>
    </row>
    <row r="33" spans="1:6" x14ac:dyDescent="0.2">
      <c r="A33" s="13" t="s">
        <v>201</v>
      </c>
      <c r="B33" s="17" t="s">
        <v>202</v>
      </c>
      <c r="C33" s="17" t="s">
        <v>171</v>
      </c>
      <c r="D33" s="17" t="s">
        <v>176</v>
      </c>
      <c r="E33" s="18">
        <v>20</v>
      </c>
      <c r="F33" s="19">
        <v>13200</v>
      </c>
    </row>
    <row r="34" spans="1:6" x14ac:dyDescent="0.2">
      <c r="A34" s="13" t="s">
        <v>203</v>
      </c>
      <c r="B34" s="17" t="s">
        <v>202</v>
      </c>
      <c r="C34" s="17" t="s">
        <v>185</v>
      </c>
      <c r="D34" s="17" t="s">
        <v>181</v>
      </c>
      <c r="E34" s="18">
        <v>70</v>
      </c>
      <c r="F34" s="19">
        <v>103740</v>
      </c>
    </row>
    <row r="35" spans="1:6" x14ac:dyDescent="0.2">
      <c r="A35" s="13" t="s">
        <v>204</v>
      </c>
      <c r="B35" s="17" t="s">
        <v>202</v>
      </c>
      <c r="C35" s="17" t="s">
        <v>188</v>
      </c>
      <c r="D35" s="17" t="s">
        <v>181</v>
      </c>
      <c r="E35" s="18">
        <v>80</v>
      </c>
      <c r="F35" s="19">
        <v>657200</v>
      </c>
    </row>
    <row r="36" spans="1:6" x14ac:dyDescent="0.2">
      <c r="A36" s="13" t="s">
        <v>205</v>
      </c>
      <c r="B36" s="17" t="s">
        <v>202</v>
      </c>
      <c r="C36" s="17" t="s">
        <v>188</v>
      </c>
      <c r="D36" s="17" t="s">
        <v>181</v>
      </c>
      <c r="E36" s="18">
        <v>80</v>
      </c>
      <c r="F36" s="19">
        <v>657200</v>
      </c>
    </row>
    <row r="37" spans="1:6" x14ac:dyDescent="0.2">
      <c r="A37" s="13" t="s">
        <v>206</v>
      </c>
      <c r="B37" s="17" t="s">
        <v>202</v>
      </c>
      <c r="C37" s="17" t="s">
        <v>188</v>
      </c>
      <c r="D37" s="17" t="s">
        <v>181</v>
      </c>
      <c r="E37" s="18">
        <v>80</v>
      </c>
      <c r="F37" s="19">
        <v>652400</v>
      </c>
    </row>
    <row r="38" spans="1:6" x14ac:dyDescent="0.2">
      <c r="A38" s="13" t="s">
        <v>207</v>
      </c>
      <c r="B38" s="17" t="s">
        <v>202</v>
      </c>
      <c r="C38" s="17" t="s">
        <v>157</v>
      </c>
      <c r="D38" s="17" t="s">
        <v>181</v>
      </c>
      <c r="E38" s="18">
        <v>50</v>
      </c>
      <c r="F38" s="19">
        <v>392964</v>
      </c>
    </row>
    <row r="39" spans="1:6" x14ac:dyDescent="0.2">
      <c r="A39" s="13" t="s">
        <v>208</v>
      </c>
      <c r="B39" s="17" t="s">
        <v>202</v>
      </c>
      <c r="C39" s="17" t="s">
        <v>171</v>
      </c>
      <c r="D39" s="17" t="s">
        <v>181</v>
      </c>
      <c r="E39" s="18">
        <v>35</v>
      </c>
      <c r="F39" s="19">
        <v>209188</v>
      </c>
    </row>
    <row r="40" spans="1:6" x14ac:dyDescent="0.2">
      <c r="A40" s="13" t="s">
        <v>209</v>
      </c>
      <c r="B40" s="17" t="s">
        <v>202</v>
      </c>
      <c r="C40" s="17" t="s">
        <v>185</v>
      </c>
      <c r="D40" s="17" t="s">
        <v>181</v>
      </c>
      <c r="E40" s="18">
        <v>60</v>
      </c>
      <c r="F40" s="19">
        <v>535929</v>
      </c>
    </row>
    <row r="41" spans="1:6" x14ac:dyDescent="0.2">
      <c r="A41" s="13" t="s">
        <v>210</v>
      </c>
      <c r="B41" s="17" t="s">
        <v>202</v>
      </c>
      <c r="C41" s="17" t="s">
        <v>188</v>
      </c>
      <c r="D41" s="17" t="s">
        <v>181</v>
      </c>
      <c r="E41" s="18">
        <v>80</v>
      </c>
      <c r="F41" s="19">
        <v>868000</v>
      </c>
    </row>
    <row r="42" spans="1:6" x14ac:dyDescent="0.2">
      <c r="A42" s="13" t="s">
        <v>211</v>
      </c>
      <c r="B42" s="17" t="s">
        <v>202</v>
      </c>
      <c r="C42" s="17" t="s">
        <v>185</v>
      </c>
      <c r="D42" s="17" t="s">
        <v>176</v>
      </c>
      <c r="E42" s="18">
        <v>75</v>
      </c>
      <c r="F42" s="19">
        <v>565031</v>
      </c>
    </row>
    <row r="43" spans="1:6" x14ac:dyDescent="0.2">
      <c r="A43" s="13" t="s">
        <v>212</v>
      </c>
      <c r="B43" s="17" t="s">
        <v>202</v>
      </c>
      <c r="C43" s="17" t="s">
        <v>171</v>
      </c>
      <c r="D43" s="17" t="s">
        <v>176</v>
      </c>
      <c r="E43" s="18">
        <v>10</v>
      </c>
      <c r="F43" s="19">
        <v>4700</v>
      </c>
    </row>
    <row r="44" spans="1:6" x14ac:dyDescent="0.2">
      <c r="A44" s="13" t="s">
        <v>213</v>
      </c>
      <c r="B44" s="17" t="s">
        <v>202</v>
      </c>
      <c r="C44" s="17" t="s">
        <v>171</v>
      </c>
      <c r="D44" s="17" t="s">
        <v>176</v>
      </c>
      <c r="E44" s="18">
        <v>10</v>
      </c>
      <c r="F44" s="19">
        <v>4550</v>
      </c>
    </row>
    <row r="45" spans="1:6" x14ac:dyDescent="0.2">
      <c r="A45" s="13" t="s">
        <v>214</v>
      </c>
      <c r="B45" s="17" t="s">
        <v>202</v>
      </c>
      <c r="C45" s="17" t="s">
        <v>157</v>
      </c>
      <c r="D45" s="17" t="s">
        <v>181</v>
      </c>
      <c r="E45" s="18">
        <v>50</v>
      </c>
      <c r="F45" s="19">
        <v>444929</v>
      </c>
    </row>
    <row r="46" spans="1:6" x14ac:dyDescent="0.2">
      <c r="A46" s="13" t="s">
        <v>215</v>
      </c>
      <c r="B46" s="17" t="s">
        <v>202</v>
      </c>
      <c r="C46" s="17" t="s">
        <v>157</v>
      </c>
      <c r="D46" s="17" t="s">
        <v>181</v>
      </c>
      <c r="E46" s="18">
        <v>50</v>
      </c>
      <c r="F46" s="19">
        <v>403464</v>
      </c>
    </row>
    <row r="47" spans="1:6" x14ac:dyDescent="0.2">
      <c r="A47" s="13" t="s">
        <v>216</v>
      </c>
      <c r="B47" s="17" t="s">
        <v>202</v>
      </c>
      <c r="C47" s="17" t="s">
        <v>185</v>
      </c>
      <c r="D47" s="17" t="s">
        <v>181</v>
      </c>
      <c r="E47" s="18">
        <v>60</v>
      </c>
      <c r="F47" s="19">
        <v>197100</v>
      </c>
    </row>
    <row r="48" spans="1:6" x14ac:dyDescent="0.2">
      <c r="A48" s="13" t="s">
        <v>217</v>
      </c>
      <c r="B48" s="17" t="s">
        <v>202</v>
      </c>
      <c r="C48" s="17" t="s">
        <v>157</v>
      </c>
      <c r="D48" s="17" t="s">
        <v>181</v>
      </c>
      <c r="E48" s="18">
        <v>50</v>
      </c>
      <c r="F48" s="19">
        <v>224964</v>
      </c>
    </row>
    <row r="49" spans="1:6" x14ac:dyDescent="0.2">
      <c r="A49" s="13" t="s">
        <v>218</v>
      </c>
      <c r="B49" s="17" t="s">
        <v>202</v>
      </c>
      <c r="C49" s="17" t="s">
        <v>185</v>
      </c>
      <c r="D49" s="17" t="s">
        <v>181</v>
      </c>
      <c r="E49" s="18">
        <v>60</v>
      </c>
      <c r="F49" s="19">
        <v>642729</v>
      </c>
    </row>
    <row r="50" spans="1:6" x14ac:dyDescent="0.2">
      <c r="A50" s="13" t="s">
        <v>219</v>
      </c>
      <c r="B50" s="17" t="s">
        <v>220</v>
      </c>
      <c r="C50" s="17" t="s">
        <v>221</v>
      </c>
      <c r="D50" s="17" t="s">
        <v>158</v>
      </c>
      <c r="E50" s="18">
        <v>30</v>
      </c>
      <c r="F50" s="19">
        <v>393810</v>
      </c>
    </row>
    <row r="51" spans="1:6" x14ac:dyDescent="0.2">
      <c r="A51" s="13" t="s">
        <v>222</v>
      </c>
      <c r="B51" s="17" t="s">
        <v>220</v>
      </c>
      <c r="C51" s="17" t="s">
        <v>221</v>
      </c>
      <c r="D51" s="17" t="s">
        <v>158</v>
      </c>
      <c r="E51" s="18">
        <v>30</v>
      </c>
      <c r="F51" s="19">
        <v>270670</v>
      </c>
    </row>
    <row r="52" spans="1:6" x14ac:dyDescent="0.2">
      <c r="A52" s="13" t="s">
        <v>223</v>
      </c>
      <c r="B52" s="17" t="s">
        <v>220</v>
      </c>
      <c r="C52" s="17" t="s">
        <v>221</v>
      </c>
      <c r="D52" s="17" t="s">
        <v>158</v>
      </c>
      <c r="E52" s="18">
        <v>30</v>
      </c>
      <c r="F52" s="19">
        <v>410310</v>
      </c>
    </row>
    <row r="53" spans="1:6" x14ac:dyDescent="0.2">
      <c r="A53" s="13" t="s">
        <v>224</v>
      </c>
      <c r="B53" s="17" t="s">
        <v>220</v>
      </c>
      <c r="C53" s="17" t="s">
        <v>171</v>
      </c>
      <c r="D53" s="17" t="s">
        <v>158</v>
      </c>
      <c r="E53" s="18">
        <v>21</v>
      </c>
      <c r="F53" s="19">
        <v>157045</v>
      </c>
    </row>
    <row r="54" spans="1:6" x14ac:dyDescent="0.2">
      <c r="A54" s="13" t="s">
        <v>225</v>
      </c>
      <c r="B54" s="17" t="s">
        <v>220</v>
      </c>
      <c r="C54" s="17" t="s">
        <v>171</v>
      </c>
      <c r="D54" s="17" t="s">
        <v>158</v>
      </c>
      <c r="E54" s="18">
        <v>21</v>
      </c>
      <c r="F54" s="19">
        <v>157045</v>
      </c>
    </row>
    <row r="55" spans="1:6" x14ac:dyDescent="0.2">
      <c r="A55" s="13" t="s">
        <v>226</v>
      </c>
      <c r="B55" s="17" t="s">
        <v>220</v>
      </c>
      <c r="C55" s="17" t="s">
        <v>171</v>
      </c>
      <c r="D55" s="17" t="s">
        <v>158</v>
      </c>
      <c r="E55" s="18">
        <v>21</v>
      </c>
      <c r="F55" s="19">
        <v>168245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E1E35-80B9-9041-B53E-4E3B6B3BB2AC}">
  <dimension ref="A1:AC100"/>
  <sheetViews>
    <sheetView tabSelected="1" workbookViewId="0">
      <selection activeCell="C15" sqref="C15"/>
    </sheetView>
  </sheetViews>
  <sheetFormatPr baseColWidth="10" defaultRowHeight="16" x14ac:dyDescent="0.2"/>
  <cols>
    <col min="1" max="1" width="19" style="1" customWidth="1"/>
    <col min="2" max="27" width="5.33203125" style="2" customWidth="1"/>
    <col min="28" max="29" width="5.33203125" customWidth="1"/>
  </cols>
  <sheetData>
    <row r="1" spans="1:29" ht="106" customHeight="1" x14ac:dyDescent="0.2">
      <c r="A1" s="3" t="s">
        <v>0</v>
      </c>
      <c r="B1" s="6" t="s">
        <v>43</v>
      </c>
      <c r="C1" s="6" t="s">
        <v>146</v>
      </c>
      <c r="D1" s="6" t="s">
        <v>48</v>
      </c>
      <c r="E1" s="6" t="s">
        <v>146</v>
      </c>
      <c r="F1" s="6" t="s">
        <v>49</v>
      </c>
      <c r="G1" s="6" t="s">
        <v>146</v>
      </c>
      <c r="H1" s="6" t="s">
        <v>46</v>
      </c>
      <c r="I1" s="6" t="s">
        <v>146</v>
      </c>
      <c r="J1" s="6" t="s">
        <v>47</v>
      </c>
      <c r="K1" s="6" t="s">
        <v>146</v>
      </c>
      <c r="L1" s="6" t="s">
        <v>80</v>
      </c>
      <c r="M1" s="6" t="s">
        <v>146</v>
      </c>
      <c r="N1" s="6" t="s">
        <v>38</v>
      </c>
      <c r="O1" s="6" t="s">
        <v>146</v>
      </c>
      <c r="P1" s="6" t="s">
        <v>37</v>
      </c>
      <c r="Q1" s="6" t="s">
        <v>146</v>
      </c>
      <c r="R1" s="6" t="s">
        <v>32</v>
      </c>
      <c r="S1" s="6" t="s">
        <v>146</v>
      </c>
      <c r="T1" s="6" t="s">
        <v>33</v>
      </c>
      <c r="U1" s="6" t="s">
        <v>146</v>
      </c>
      <c r="V1" s="6" t="s">
        <v>34</v>
      </c>
      <c r="W1" s="6" t="s">
        <v>146</v>
      </c>
      <c r="X1" s="6" t="s">
        <v>142</v>
      </c>
      <c r="Y1" s="6" t="s">
        <v>146</v>
      </c>
      <c r="Z1" s="6" t="s">
        <v>143</v>
      </c>
      <c r="AA1" s="6" t="s">
        <v>146</v>
      </c>
      <c r="AB1" s="6" t="s">
        <v>36</v>
      </c>
      <c r="AC1" s="6" t="s">
        <v>146</v>
      </c>
    </row>
    <row r="2" spans="1:29" x14ac:dyDescent="0.2">
      <c r="A2" s="4" t="s">
        <v>1</v>
      </c>
      <c r="B2" s="2">
        <f>COUNTIF('MekHQ Inventory Export'!$1:$1499,"Mech Head "&amp;$A2)</f>
        <v>1</v>
      </c>
      <c r="C2" s="2">
        <f>COUNTIF('Parts Required'!$1:$1500,'Inventory Summary'!B$1&amp;" "&amp;'Inventory Summary'!$A2)</f>
        <v>0</v>
      </c>
      <c r="D2" s="2">
        <f>COUNTIF('MekHQ Inventory Export'!$1:$1499,"Mech Right Torso "&amp;$A2)</f>
        <v>1</v>
      </c>
      <c r="E2" s="2">
        <f>COUNTIF('Parts Required'!$1:$1500,'Inventory Summary'!D$1&amp;" "&amp;'Inventory Summary'!$A2)</f>
        <v>0</v>
      </c>
      <c r="F2" s="2">
        <f>COUNTIF('MekHQ Inventory Export'!$1:$1499,"Mech Left Torso"&amp;$A2)</f>
        <v>0</v>
      </c>
      <c r="G2" s="2">
        <f>COUNTIF('Parts Required'!$1:$1500,'Inventory Summary'!F$1&amp;" "&amp;'Inventory Summary'!$A2)</f>
        <v>0</v>
      </c>
      <c r="H2" s="2">
        <f>COUNTIF('MekHQ Inventory Export'!$1:$1499,"Mech Right Arm "&amp;$A2)</f>
        <v>0</v>
      </c>
      <c r="I2" s="2">
        <f>COUNTIF('Parts Required'!$1:$1500,'Inventory Summary'!H$1&amp;" "&amp;'Inventory Summary'!$A2)</f>
        <v>0</v>
      </c>
      <c r="J2" s="2">
        <f>COUNTIF('MekHQ Inventory Export'!$1:$1499,"Mech Left Arm "&amp;$A2)</f>
        <v>0</v>
      </c>
      <c r="K2" s="2">
        <f>COUNTIF('Parts Required'!$1:$1500,'Inventory Summary'!J$1&amp;" "&amp;'Inventory Summary'!$A2)</f>
        <v>0</v>
      </c>
      <c r="L2" s="2">
        <f>COUNTIF('MekHQ Inventory Export'!$1:$1499,"Gyro "&amp;$A2)</f>
        <v>0</v>
      </c>
      <c r="M2" s="2">
        <f>COUNTIF('Parts Required'!$1:$1500,'Inventory Summary'!L$1&amp;" "&amp;'Inventory Summary'!$A2)</f>
        <v>0</v>
      </c>
      <c r="N2" s="2">
        <f>COUNTIF('MekHQ Inventory Export'!$1:$1499,"Mech Sensors "&amp;$A2)</f>
        <v>1</v>
      </c>
      <c r="O2" s="2">
        <f>COUNTIF('Parts Required'!$1:$1500,'Inventory Summary'!N$1&amp;" "&amp;'Inventory Summary'!$A2)</f>
        <v>0</v>
      </c>
      <c r="P2" s="2">
        <f>COUNTIF('MekHQ Inventory Export'!$1:$1499,"Mech Life Support System "&amp;$A2)</f>
        <v>1</v>
      </c>
      <c r="Q2" s="2">
        <f>COUNTIF('Parts Required'!$1:$1500,'Inventory Summary'!P$1&amp;" "&amp;'Inventory Summary'!$A2)</f>
        <v>0</v>
      </c>
      <c r="R2" s="2">
        <f>COUNTIF('MekHQ Inventory Export'!$1:$1499,"Upper Arm Actuator "&amp;$A2)</f>
        <v>1</v>
      </c>
      <c r="S2" s="2">
        <f>COUNTIF('Parts Required'!$1:$1500,'Inventory Summary'!R$1&amp;" "&amp;'Inventory Summary'!$A2)</f>
        <v>0</v>
      </c>
      <c r="T2" s="2">
        <f>COUNTIF('MekHQ Inventory Export'!$1:$1499,"Lower Arm Actuator "&amp;$A2)</f>
        <v>0</v>
      </c>
      <c r="U2" s="2">
        <f>COUNTIF('Parts Required'!$1:$1500,'Inventory Summary'!T$1&amp;" "&amp;'Inventory Summary'!$A2)</f>
        <v>0</v>
      </c>
      <c r="V2" s="2">
        <f>COUNTIF('MekHQ Inventory Export'!$1:$1499,"Hamd Actuator "&amp;$A2)</f>
        <v>0</v>
      </c>
      <c r="W2" s="2">
        <f>COUNTIF('Parts Required'!$1:$1500,'Inventory Summary'!V$1&amp;" "&amp;'Inventory Summary'!$A2)</f>
        <v>0</v>
      </c>
      <c r="X2" s="2">
        <f>COUNTIF('MekHQ Inventory Export'!$1:$1499,"Upper Leg Actuator "&amp;$A2)</f>
        <v>1</v>
      </c>
      <c r="Y2" s="2">
        <f>COUNTIF('Parts Required'!$1:$1500,'Inventory Summary'!X$1&amp;" "&amp;'Inventory Summary'!$A2)</f>
        <v>0</v>
      </c>
      <c r="Z2" s="2">
        <f>COUNTIF('MekHQ Inventory Export'!$1:$1499,"Lower Leg Actuator"&amp;$A2)</f>
        <v>0</v>
      </c>
      <c r="AA2" s="2">
        <f>COUNTIF('Parts Required'!$1:$1500,'Inventory Summary'!Z$1&amp;" "&amp;'Inventory Summary'!$A2)</f>
        <v>0</v>
      </c>
      <c r="AB2" s="2">
        <f>COUNTIF('MekHQ Inventory Export'!$1:$1499,"Foot Actuator "&amp;$A2)</f>
        <v>1</v>
      </c>
      <c r="AC2" s="2">
        <f>COUNTIF('Parts Required'!$1:$1500,'Inventory Summary'!AB$1&amp;" "&amp;'Inventory Summary'!$A2)</f>
        <v>0</v>
      </c>
    </row>
    <row r="3" spans="1:29" x14ac:dyDescent="0.2">
      <c r="A3" s="4" t="s">
        <v>10</v>
      </c>
      <c r="B3" s="2">
        <f>COUNTIF('MekHQ Inventory Export'!$1:$1499,"Mech Head "&amp;$A3)</f>
        <v>0</v>
      </c>
      <c r="C3" s="2">
        <f>COUNTIF('Parts Required'!$1:$1500,'Inventory Summary'!B$1&amp;" "&amp;'Inventory Summary'!$A3)</f>
        <v>0</v>
      </c>
      <c r="D3" s="2">
        <f>COUNTIF('MekHQ Inventory Export'!$1:$1499,"Mech Right Torso "&amp;$A3)</f>
        <v>0</v>
      </c>
      <c r="E3" s="2">
        <f>COUNTIF('Parts Required'!$1:$1500,'Inventory Summary'!D$1&amp;" "&amp;'Inventory Summary'!$A3)</f>
        <v>0</v>
      </c>
      <c r="F3" s="2">
        <f>COUNTIF('MekHQ Inventory Export'!$1:$1499,"Mech Left Torso"&amp;$A3)</f>
        <v>0</v>
      </c>
      <c r="G3" s="2">
        <f>COUNTIF('Parts Required'!$1:$1500,'Inventory Summary'!F$1&amp;" "&amp;'Inventory Summary'!$A3)</f>
        <v>0</v>
      </c>
      <c r="H3" s="2">
        <f>COUNTIF('MekHQ Inventory Export'!$1:$1499,"Mech Right Arm "&amp;$A3)</f>
        <v>0</v>
      </c>
      <c r="I3" s="2">
        <f>COUNTIF('Parts Required'!$1:$1500,'Inventory Summary'!H$1&amp;" "&amp;'Inventory Summary'!$A3)</f>
        <v>0</v>
      </c>
      <c r="J3" s="2">
        <f>COUNTIF('MekHQ Inventory Export'!$1:$1499,"Mech Left Arm "&amp;$A3)</f>
        <v>0</v>
      </c>
      <c r="K3" s="2">
        <f>COUNTIF('Parts Required'!$1:$1500,'Inventory Summary'!J$1&amp;" "&amp;'Inventory Summary'!$A3)</f>
        <v>0</v>
      </c>
      <c r="L3" s="2">
        <f>COUNTIF('MekHQ Inventory Export'!$1:$1499,"Gyro "&amp;$A3)</f>
        <v>0</v>
      </c>
      <c r="M3" s="2">
        <f>COUNTIF('Parts Required'!$1:$1500,'Inventory Summary'!L$1&amp;" "&amp;'Inventory Summary'!$A3)</f>
        <v>0</v>
      </c>
      <c r="N3" s="2">
        <f>COUNTIF('MekHQ Inventory Export'!$1:$1499,"Mech Sensors "&amp;$A3)</f>
        <v>0</v>
      </c>
      <c r="O3" s="2">
        <f>COUNTIF('Parts Required'!$1:$1500,'Inventory Summary'!N$1&amp;" "&amp;'Inventory Summary'!$A3)</f>
        <v>0</v>
      </c>
      <c r="P3" s="2">
        <f>COUNTIF('MekHQ Inventory Export'!$1:$1499,"Mech Life Support System "&amp;$A3)</f>
        <v>0</v>
      </c>
      <c r="Q3" s="2">
        <f>COUNTIF('Parts Required'!$1:$1500,'Inventory Summary'!P$1&amp;" "&amp;'Inventory Summary'!$A3)</f>
        <v>0</v>
      </c>
      <c r="R3" s="2">
        <f>COUNTIF('MekHQ Inventory Export'!$1:$1499,"Upper Arm Actuator "&amp;$A3)</f>
        <v>0</v>
      </c>
      <c r="S3" s="2">
        <f>COUNTIF('Parts Required'!$1:$1500,'Inventory Summary'!R$1&amp;" "&amp;'Inventory Summary'!$A3)</f>
        <v>0</v>
      </c>
      <c r="T3" s="2">
        <f>COUNTIF('MekHQ Inventory Export'!$1:$1499,"Lower Arm Actuator "&amp;$A3)</f>
        <v>0</v>
      </c>
      <c r="U3" s="2">
        <f>COUNTIF('Parts Required'!$1:$1500,'Inventory Summary'!T$1&amp;" "&amp;'Inventory Summary'!$A3)</f>
        <v>0</v>
      </c>
      <c r="V3" s="2">
        <f>COUNTIF('MekHQ Inventory Export'!$1:$1499,"Hamd Actuator "&amp;$A3)</f>
        <v>0</v>
      </c>
      <c r="W3" s="2">
        <f>COUNTIF('Parts Required'!$1:$1500,'Inventory Summary'!V$1&amp;" "&amp;'Inventory Summary'!$A3)</f>
        <v>0</v>
      </c>
      <c r="X3" s="2">
        <f>COUNTIF('MekHQ Inventory Export'!$1:$1499,"Upper Leg Actuator "&amp;$A3)</f>
        <v>0</v>
      </c>
      <c r="Y3" s="2">
        <f>COUNTIF('Parts Required'!$1:$1500,'Inventory Summary'!X$1&amp;" "&amp;'Inventory Summary'!$A3)</f>
        <v>0</v>
      </c>
      <c r="Z3" s="2">
        <f>COUNTIF('MekHQ Inventory Export'!$1:$1499,"Lower Leg Actuator"&amp;$A3)</f>
        <v>0</v>
      </c>
      <c r="AA3" s="2">
        <f>COUNTIF('Parts Required'!$1:$1500,'Inventory Summary'!Z$1&amp;" "&amp;'Inventory Summary'!$A3)</f>
        <v>0</v>
      </c>
      <c r="AB3" s="2">
        <f>COUNTIF('MekHQ Inventory Export'!$1:$1499,"Foot Actuator "&amp;$A3)</f>
        <v>0</v>
      </c>
      <c r="AC3" s="2">
        <f>COUNTIF('Parts Required'!$1:$1500,'Inventory Summary'!AB$1&amp;" "&amp;'Inventory Summary'!$A3)</f>
        <v>0</v>
      </c>
    </row>
    <row r="4" spans="1:29" x14ac:dyDescent="0.2">
      <c r="A4" s="4" t="s">
        <v>2</v>
      </c>
      <c r="B4" s="2">
        <f>COUNTIF('MekHQ Inventory Export'!$1:$1499,"Mech Head "&amp;$A4)</f>
        <v>1</v>
      </c>
      <c r="C4" s="2">
        <f>COUNTIF('Parts Required'!$1:$1500,'Inventory Summary'!B$1&amp;" "&amp;'Inventory Summary'!$A4)</f>
        <v>4</v>
      </c>
      <c r="D4" s="2">
        <f>COUNTIF('MekHQ Inventory Export'!$1:$1499,"Mech Right Torso "&amp;$A4)</f>
        <v>1</v>
      </c>
      <c r="E4" s="2">
        <f>COUNTIF('Parts Required'!$1:$1500,'Inventory Summary'!D$1&amp;" "&amp;'Inventory Summary'!$A4)</f>
        <v>4</v>
      </c>
      <c r="F4" s="2">
        <f>COUNTIF('MekHQ Inventory Export'!$1:$1499,"Mech Left Torso"&amp;$A4)</f>
        <v>0</v>
      </c>
      <c r="G4" s="2">
        <f>COUNTIF('Parts Required'!$1:$1500,'Inventory Summary'!F$1&amp;" "&amp;'Inventory Summary'!$A4)</f>
        <v>4</v>
      </c>
      <c r="H4" s="2">
        <f>COUNTIF('MekHQ Inventory Export'!$1:$1499,"Mech Right Arm "&amp;$A4)</f>
        <v>1</v>
      </c>
      <c r="I4" s="2">
        <f>COUNTIF('Parts Required'!$1:$1500,'Inventory Summary'!H$1&amp;" "&amp;'Inventory Summary'!$A4)</f>
        <v>4</v>
      </c>
      <c r="J4" s="2">
        <f>COUNTIF('MekHQ Inventory Export'!$1:$1499,"Mech Left Arm "&amp;$A4)</f>
        <v>1</v>
      </c>
      <c r="K4" s="2">
        <f>COUNTIF('Parts Required'!$1:$1500,'Inventory Summary'!J$1&amp;" "&amp;'Inventory Summary'!$A4)</f>
        <v>4</v>
      </c>
      <c r="L4" s="2">
        <f>COUNTIF('MekHQ Inventory Export'!$1:$1499,"Gyro "&amp;$A4)</f>
        <v>0</v>
      </c>
      <c r="M4" s="2">
        <f>COUNTIF('Parts Required'!$1:$1500,'Inventory Summary'!L$1&amp;" "&amp;'Inventory Summary'!$A4)</f>
        <v>4</v>
      </c>
      <c r="N4" s="2">
        <f>COUNTIF('MekHQ Inventory Export'!$1:$1499,"Mech Sensors "&amp;$A4)</f>
        <v>1</v>
      </c>
      <c r="O4" s="2">
        <f>COUNTIF('Parts Required'!$1:$1500,'Inventory Summary'!N$1&amp;" "&amp;'Inventory Summary'!$A4)</f>
        <v>0</v>
      </c>
      <c r="P4" s="2">
        <f>COUNTIF('MekHQ Inventory Export'!$1:$1499,"Mech Life Support System "&amp;$A4)</f>
        <v>0</v>
      </c>
      <c r="Q4" s="2">
        <f>COUNTIF('Parts Required'!$1:$1500,'Inventory Summary'!P$1&amp;" "&amp;'Inventory Summary'!$A4)</f>
        <v>4</v>
      </c>
      <c r="R4" s="2">
        <f>COUNTIF('MekHQ Inventory Export'!$1:$1499,"Upper Arm Actuator "&amp;$A4)</f>
        <v>2</v>
      </c>
      <c r="S4" s="2">
        <f>COUNTIF('Parts Required'!$1:$1500,'Inventory Summary'!R$1&amp;" "&amp;'Inventory Summary'!$A4)</f>
        <v>4</v>
      </c>
      <c r="T4" s="2">
        <f>COUNTIF('MekHQ Inventory Export'!$1:$1499,"Lower Arm Actuator "&amp;$A4)</f>
        <v>2</v>
      </c>
      <c r="U4" s="2">
        <f>COUNTIF('Parts Required'!$1:$1500,'Inventory Summary'!T$1&amp;" "&amp;'Inventory Summary'!$A4)</f>
        <v>4</v>
      </c>
      <c r="V4" s="2">
        <f>COUNTIF('MekHQ Inventory Export'!$1:$1499,"Hamd Actuator "&amp;$A4)</f>
        <v>0</v>
      </c>
      <c r="W4" s="2">
        <f>COUNTIF('Parts Required'!$1:$1500,'Inventory Summary'!V$1&amp;" "&amp;'Inventory Summary'!$A4)</f>
        <v>4</v>
      </c>
      <c r="X4" s="2">
        <f>COUNTIF('MekHQ Inventory Export'!$1:$1499,"Upper Leg Actuator "&amp;$A4)</f>
        <v>2</v>
      </c>
      <c r="Y4" s="2">
        <f>COUNTIF('Parts Required'!$1:$1500,'Inventory Summary'!X$1&amp;" "&amp;'Inventory Summary'!$A4)</f>
        <v>4</v>
      </c>
      <c r="Z4" s="2">
        <f>COUNTIF('MekHQ Inventory Export'!$1:$1499,"Lower Leg Actuator"&amp;$A4)</f>
        <v>0</v>
      </c>
      <c r="AA4" s="2">
        <f>COUNTIF('Parts Required'!$1:$1500,'Inventory Summary'!Z$1&amp;" "&amp;'Inventory Summary'!$A4)</f>
        <v>4</v>
      </c>
      <c r="AB4" s="2">
        <f>COUNTIF('MekHQ Inventory Export'!$1:$1499,"Foot Actuator "&amp;$A4)</f>
        <v>2</v>
      </c>
      <c r="AC4" s="2">
        <f>COUNTIF('Parts Required'!$1:$1500,'Inventory Summary'!AB$1&amp;" "&amp;'Inventory Summary'!$A4)</f>
        <v>4</v>
      </c>
    </row>
    <row r="5" spans="1:29" x14ac:dyDescent="0.2">
      <c r="A5" s="4" t="s">
        <v>11</v>
      </c>
      <c r="B5" s="2">
        <f>COUNTIF('MekHQ Inventory Export'!$1:$1499,"Mech Head "&amp;$A5)</f>
        <v>1</v>
      </c>
      <c r="C5" s="2">
        <f>COUNTIF('Parts Required'!$1:$1500,'Inventory Summary'!B$1&amp;" "&amp;'Inventory Summary'!$A5)</f>
        <v>0</v>
      </c>
      <c r="D5" s="2">
        <f>COUNTIF('MekHQ Inventory Export'!$1:$1499,"Mech Right Torso "&amp;$A5)</f>
        <v>1</v>
      </c>
      <c r="E5" s="2">
        <f>COUNTIF('Parts Required'!$1:$1500,'Inventory Summary'!D$1&amp;" "&amp;'Inventory Summary'!$A5)</f>
        <v>0</v>
      </c>
      <c r="F5" s="2">
        <f>COUNTIF('MekHQ Inventory Export'!$1:$1499,"Mech Left Torso"&amp;$A5)</f>
        <v>0</v>
      </c>
      <c r="G5" s="2">
        <f>COUNTIF('Parts Required'!$1:$1500,'Inventory Summary'!F$1&amp;" "&amp;'Inventory Summary'!$A5)</f>
        <v>0</v>
      </c>
      <c r="H5" s="2">
        <f>COUNTIF('MekHQ Inventory Export'!$1:$1499,"Mech Right Arm "&amp;$A5)</f>
        <v>1</v>
      </c>
      <c r="I5" s="2">
        <f>COUNTIF('Parts Required'!$1:$1500,'Inventory Summary'!H$1&amp;" "&amp;'Inventory Summary'!$A5)</f>
        <v>0</v>
      </c>
      <c r="J5" s="2">
        <f>COUNTIF('MekHQ Inventory Export'!$1:$1499,"Mech Left Arm "&amp;$A5)</f>
        <v>1</v>
      </c>
      <c r="K5" s="2">
        <f>COUNTIF('Parts Required'!$1:$1500,'Inventory Summary'!J$1&amp;" "&amp;'Inventory Summary'!$A5)</f>
        <v>0</v>
      </c>
      <c r="L5" s="2">
        <f>COUNTIF('MekHQ Inventory Export'!$1:$1499,"Gyro "&amp;$A5)</f>
        <v>0</v>
      </c>
      <c r="M5" s="2">
        <f>COUNTIF('Parts Required'!$1:$1500,'Inventory Summary'!L$1&amp;" "&amp;'Inventory Summary'!$A5)</f>
        <v>0</v>
      </c>
      <c r="N5" s="2">
        <f>COUNTIF('MekHQ Inventory Export'!$1:$1499,"Mech Sensors "&amp;$A5)</f>
        <v>1</v>
      </c>
      <c r="O5" s="2">
        <f>COUNTIF('Parts Required'!$1:$1500,'Inventory Summary'!N$1&amp;" "&amp;'Inventory Summary'!$A5)</f>
        <v>0</v>
      </c>
      <c r="P5" s="2">
        <f>COUNTIF('MekHQ Inventory Export'!$1:$1499,"Mech Life Support System "&amp;$A5)</f>
        <v>0</v>
      </c>
      <c r="Q5" s="2">
        <f>COUNTIF('Parts Required'!$1:$1500,'Inventory Summary'!P$1&amp;" "&amp;'Inventory Summary'!$A5)</f>
        <v>0</v>
      </c>
      <c r="R5" s="2">
        <f>COUNTIF('MekHQ Inventory Export'!$1:$1499,"Upper Arm Actuator "&amp;$A5)</f>
        <v>1</v>
      </c>
      <c r="S5" s="2">
        <f>COUNTIF('Parts Required'!$1:$1500,'Inventory Summary'!R$1&amp;" "&amp;'Inventory Summary'!$A5)</f>
        <v>0</v>
      </c>
      <c r="T5" s="2">
        <f>COUNTIF('MekHQ Inventory Export'!$1:$1499,"Lower Arm Actuator "&amp;$A5)</f>
        <v>1</v>
      </c>
      <c r="U5" s="2">
        <f>COUNTIF('Parts Required'!$1:$1500,'Inventory Summary'!T$1&amp;" "&amp;'Inventory Summary'!$A5)</f>
        <v>0</v>
      </c>
      <c r="V5" s="2">
        <f>COUNTIF('MekHQ Inventory Export'!$1:$1499,"Hamd Actuator "&amp;$A5)</f>
        <v>0</v>
      </c>
      <c r="W5" s="2">
        <f>COUNTIF('Parts Required'!$1:$1500,'Inventory Summary'!V$1&amp;" "&amp;'Inventory Summary'!$A5)</f>
        <v>0</v>
      </c>
      <c r="X5" s="2">
        <f>COUNTIF('MekHQ Inventory Export'!$1:$1499,"Upper Leg Actuator "&amp;$A5)</f>
        <v>1</v>
      </c>
      <c r="Y5" s="2">
        <f>COUNTIF('Parts Required'!$1:$1500,'Inventory Summary'!X$1&amp;" "&amp;'Inventory Summary'!$A5)</f>
        <v>0</v>
      </c>
      <c r="Z5" s="2">
        <f>COUNTIF('MekHQ Inventory Export'!$1:$1499,"Lower Leg Actuator"&amp;$A5)</f>
        <v>0</v>
      </c>
      <c r="AA5" s="2">
        <f>COUNTIF('Parts Required'!$1:$1500,'Inventory Summary'!Z$1&amp;" "&amp;'Inventory Summary'!$A5)</f>
        <v>0</v>
      </c>
      <c r="AB5" s="2">
        <f>COUNTIF('MekHQ Inventory Export'!$1:$1499,"Foot Actuator "&amp;$A5)</f>
        <v>1</v>
      </c>
      <c r="AC5" s="2">
        <f>COUNTIF('Parts Required'!$1:$1500,'Inventory Summary'!AB$1&amp;" "&amp;'Inventory Summary'!$A5)</f>
        <v>0</v>
      </c>
    </row>
    <row r="6" spans="1:29" x14ac:dyDescent="0.2">
      <c r="A6" s="4" t="s">
        <v>3</v>
      </c>
      <c r="B6" s="2">
        <f>COUNTIF('MekHQ Inventory Export'!$1:$1499,"Mech Head "&amp;$A6)</f>
        <v>0</v>
      </c>
      <c r="C6" s="2">
        <f>COUNTIF('Parts Required'!$1:$1500,'Inventory Summary'!B$1&amp;" "&amp;'Inventory Summary'!$A6)</f>
        <v>1</v>
      </c>
      <c r="D6" s="2">
        <f>COUNTIF('MekHQ Inventory Export'!$1:$1499,"Mech Right Torso "&amp;$A6)</f>
        <v>1</v>
      </c>
      <c r="E6" s="2">
        <f>COUNTIF('Parts Required'!$1:$1500,'Inventory Summary'!D$1&amp;" "&amp;'Inventory Summary'!$A6)</f>
        <v>1</v>
      </c>
      <c r="F6" s="2">
        <f>COUNTIF('MekHQ Inventory Export'!$1:$1499,"Mech Left Torso"&amp;$A6)</f>
        <v>0</v>
      </c>
      <c r="G6" s="2">
        <f>COUNTIF('Parts Required'!$1:$1500,'Inventory Summary'!F$1&amp;" "&amp;'Inventory Summary'!$A6)</f>
        <v>1</v>
      </c>
      <c r="H6" s="2">
        <f>COUNTIF('MekHQ Inventory Export'!$1:$1499,"Mech Right Arm "&amp;$A6)</f>
        <v>1</v>
      </c>
      <c r="I6" s="2">
        <f>COUNTIF('Parts Required'!$1:$1500,'Inventory Summary'!H$1&amp;" "&amp;'Inventory Summary'!$A6)</f>
        <v>1</v>
      </c>
      <c r="J6" s="2">
        <f>COUNTIF('MekHQ Inventory Export'!$1:$1499,"Mech Left Arm "&amp;$A6)</f>
        <v>1</v>
      </c>
      <c r="K6" s="2">
        <f>COUNTIF('Parts Required'!$1:$1500,'Inventory Summary'!J$1&amp;" "&amp;'Inventory Summary'!$A6)</f>
        <v>1</v>
      </c>
      <c r="L6" s="2">
        <f>COUNTIF('MekHQ Inventory Export'!$1:$1499,"Gyro "&amp;$A6)</f>
        <v>0</v>
      </c>
      <c r="M6" s="2">
        <f>COUNTIF('Parts Required'!$1:$1500,'Inventory Summary'!L$1&amp;" "&amp;'Inventory Summary'!$A6)</f>
        <v>1</v>
      </c>
      <c r="N6" s="2">
        <f>COUNTIF('MekHQ Inventory Export'!$1:$1499,"Mech Sensors "&amp;$A6)</f>
        <v>1</v>
      </c>
      <c r="O6" s="2">
        <f>COUNTIF('Parts Required'!$1:$1500,'Inventory Summary'!N$1&amp;" "&amp;'Inventory Summary'!$A6)</f>
        <v>0</v>
      </c>
      <c r="P6" s="2">
        <f>COUNTIF('MekHQ Inventory Export'!$1:$1499,"Mech Life Support System "&amp;$A6)</f>
        <v>0</v>
      </c>
      <c r="Q6" s="2">
        <f>COUNTIF('Parts Required'!$1:$1500,'Inventory Summary'!P$1&amp;" "&amp;'Inventory Summary'!$A6)</f>
        <v>1</v>
      </c>
      <c r="R6" s="2">
        <f>COUNTIF('MekHQ Inventory Export'!$1:$1499,"Upper Arm Actuator "&amp;$A6)</f>
        <v>1</v>
      </c>
      <c r="S6" s="2">
        <f>COUNTIF('Parts Required'!$1:$1500,'Inventory Summary'!R$1&amp;" "&amp;'Inventory Summary'!$A6)</f>
        <v>1</v>
      </c>
      <c r="T6" s="2">
        <f>COUNTIF('MekHQ Inventory Export'!$1:$1499,"Lower Arm Actuator "&amp;$A6)</f>
        <v>1</v>
      </c>
      <c r="U6" s="2">
        <f>COUNTIF('Parts Required'!$1:$1500,'Inventory Summary'!T$1&amp;" "&amp;'Inventory Summary'!$A6)</f>
        <v>1</v>
      </c>
      <c r="V6" s="2">
        <f>COUNTIF('MekHQ Inventory Export'!$1:$1499,"Hamd Actuator "&amp;$A6)</f>
        <v>0</v>
      </c>
      <c r="W6" s="2">
        <f>COUNTIF('Parts Required'!$1:$1500,'Inventory Summary'!V$1&amp;" "&amp;'Inventory Summary'!$A6)</f>
        <v>1</v>
      </c>
      <c r="X6" s="2">
        <f>COUNTIF('MekHQ Inventory Export'!$1:$1499,"Upper Leg Actuator "&amp;$A6)</f>
        <v>1</v>
      </c>
      <c r="Y6" s="2">
        <f>COUNTIF('Parts Required'!$1:$1500,'Inventory Summary'!X$1&amp;" "&amp;'Inventory Summary'!$A6)</f>
        <v>1</v>
      </c>
      <c r="Z6" s="2">
        <f>COUNTIF('MekHQ Inventory Export'!$1:$1499,"Lower Leg Actuator"&amp;$A6)</f>
        <v>0</v>
      </c>
      <c r="AA6" s="2">
        <f>COUNTIF('Parts Required'!$1:$1500,'Inventory Summary'!Z$1&amp;" "&amp;'Inventory Summary'!$A6)</f>
        <v>1</v>
      </c>
      <c r="AB6" s="2">
        <f>COUNTIF('MekHQ Inventory Export'!$1:$1499,"Foot Actuator "&amp;$A6)</f>
        <v>1</v>
      </c>
      <c r="AC6" s="2">
        <f>COUNTIF('Parts Required'!$1:$1500,'Inventory Summary'!AB$1&amp;" "&amp;'Inventory Summary'!$A6)</f>
        <v>1</v>
      </c>
    </row>
    <row r="7" spans="1:29" x14ac:dyDescent="0.2">
      <c r="A7" s="4" t="s">
        <v>12</v>
      </c>
      <c r="B7" s="2">
        <f>COUNTIF('MekHQ Inventory Export'!$1:$1499,"Mech Head "&amp;$A7)</f>
        <v>0</v>
      </c>
      <c r="C7" s="2">
        <f>COUNTIF('Parts Required'!$1:$1500,'Inventory Summary'!B$1&amp;" "&amp;'Inventory Summary'!$A7)</f>
        <v>0</v>
      </c>
      <c r="D7" s="2">
        <f>COUNTIF('MekHQ Inventory Export'!$1:$1499,"Mech Right Torso "&amp;$A7)</f>
        <v>0</v>
      </c>
      <c r="E7" s="2">
        <f>COUNTIF('Parts Required'!$1:$1500,'Inventory Summary'!D$1&amp;" "&amp;'Inventory Summary'!$A7)</f>
        <v>0</v>
      </c>
      <c r="F7" s="2">
        <f>COUNTIF('MekHQ Inventory Export'!$1:$1499,"Mech Left Torso"&amp;$A7)</f>
        <v>0</v>
      </c>
      <c r="G7" s="2">
        <f>COUNTIF('Parts Required'!$1:$1500,'Inventory Summary'!F$1&amp;" "&amp;'Inventory Summary'!$A7)</f>
        <v>0</v>
      </c>
      <c r="H7" s="2">
        <f>COUNTIF('MekHQ Inventory Export'!$1:$1499,"Mech Right Arm "&amp;$A7)</f>
        <v>0</v>
      </c>
      <c r="I7" s="2">
        <f>COUNTIF('Parts Required'!$1:$1500,'Inventory Summary'!H$1&amp;" "&amp;'Inventory Summary'!$A7)</f>
        <v>0</v>
      </c>
      <c r="J7" s="2">
        <f>COUNTIF('MekHQ Inventory Export'!$1:$1499,"Mech Left Arm "&amp;$A7)</f>
        <v>0</v>
      </c>
      <c r="K7" s="2">
        <f>COUNTIF('Parts Required'!$1:$1500,'Inventory Summary'!J$1&amp;" "&amp;'Inventory Summary'!$A7)</f>
        <v>0</v>
      </c>
      <c r="L7" s="2">
        <f>COUNTIF('MekHQ Inventory Export'!$1:$1499,"Gyro "&amp;$A7)</f>
        <v>0</v>
      </c>
      <c r="M7" s="2">
        <f>COUNTIF('Parts Required'!$1:$1500,'Inventory Summary'!L$1&amp;" "&amp;'Inventory Summary'!$A7)</f>
        <v>0</v>
      </c>
      <c r="N7" s="2">
        <f>COUNTIF('MekHQ Inventory Export'!$1:$1499,"Mech Sensors "&amp;$A7)</f>
        <v>0</v>
      </c>
      <c r="O7" s="2">
        <f>COUNTIF('Parts Required'!$1:$1500,'Inventory Summary'!N$1&amp;" "&amp;'Inventory Summary'!$A7)</f>
        <v>0</v>
      </c>
      <c r="P7" s="2">
        <f>COUNTIF('MekHQ Inventory Export'!$1:$1499,"Mech Life Support System "&amp;$A7)</f>
        <v>0</v>
      </c>
      <c r="Q7" s="2">
        <f>COUNTIF('Parts Required'!$1:$1500,'Inventory Summary'!P$1&amp;" "&amp;'Inventory Summary'!$A7)</f>
        <v>0</v>
      </c>
      <c r="R7" s="2">
        <f>COUNTIF('MekHQ Inventory Export'!$1:$1499,"Upper Arm Actuator "&amp;$A7)</f>
        <v>1</v>
      </c>
      <c r="S7" s="2">
        <f>COUNTIF('Parts Required'!$1:$1500,'Inventory Summary'!R$1&amp;" "&amp;'Inventory Summary'!$A7)</f>
        <v>0</v>
      </c>
      <c r="T7" s="2">
        <f>COUNTIF('MekHQ Inventory Export'!$1:$1499,"Lower Arm Actuator "&amp;$A7)</f>
        <v>1</v>
      </c>
      <c r="U7" s="2">
        <f>COUNTIF('Parts Required'!$1:$1500,'Inventory Summary'!T$1&amp;" "&amp;'Inventory Summary'!$A7)</f>
        <v>0</v>
      </c>
      <c r="V7" s="2">
        <f>COUNTIF('MekHQ Inventory Export'!$1:$1499,"Hamd Actuator "&amp;$A7)</f>
        <v>0</v>
      </c>
      <c r="W7" s="2">
        <f>COUNTIF('Parts Required'!$1:$1500,'Inventory Summary'!V$1&amp;" "&amp;'Inventory Summary'!$A7)</f>
        <v>0</v>
      </c>
      <c r="X7" s="2">
        <f>COUNTIF('MekHQ Inventory Export'!$1:$1499,"Upper Leg Actuator "&amp;$A7)</f>
        <v>0</v>
      </c>
      <c r="Y7" s="2">
        <f>COUNTIF('Parts Required'!$1:$1500,'Inventory Summary'!X$1&amp;" "&amp;'Inventory Summary'!$A7)</f>
        <v>0</v>
      </c>
      <c r="Z7" s="2">
        <f>COUNTIF('MekHQ Inventory Export'!$1:$1499,"Lower Leg Actuator"&amp;$A7)</f>
        <v>0</v>
      </c>
      <c r="AA7" s="2">
        <f>COUNTIF('Parts Required'!$1:$1500,'Inventory Summary'!Z$1&amp;" "&amp;'Inventory Summary'!$A7)</f>
        <v>0</v>
      </c>
      <c r="AB7" s="2">
        <f>COUNTIF('MekHQ Inventory Export'!$1:$1499,"Foot Actuator "&amp;$A7)</f>
        <v>0</v>
      </c>
      <c r="AC7" s="2">
        <f>COUNTIF('Parts Required'!$1:$1500,'Inventory Summary'!AB$1&amp;" "&amp;'Inventory Summary'!$A7)</f>
        <v>0</v>
      </c>
    </row>
    <row r="8" spans="1:29" x14ac:dyDescent="0.2">
      <c r="A8" s="4" t="s">
        <v>4</v>
      </c>
      <c r="B8" s="2">
        <f>COUNTIF('MekHQ Inventory Export'!$1:$1499,"Mech Head "&amp;$A8)</f>
        <v>1</v>
      </c>
      <c r="C8" s="2">
        <f>COUNTIF('Parts Required'!$1:$1500,'Inventory Summary'!B$1&amp;" "&amp;'Inventory Summary'!$A8)</f>
        <v>4</v>
      </c>
      <c r="D8" s="2">
        <f>COUNTIF('MekHQ Inventory Export'!$1:$1499,"Mech Right Torso "&amp;$A8)</f>
        <v>1</v>
      </c>
      <c r="E8" s="2">
        <f>COUNTIF('Parts Required'!$1:$1500,'Inventory Summary'!D$1&amp;" "&amp;'Inventory Summary'!$A8)</f>
        <v>4</v>
      </c>
      <c r="F8" s="2">
        <f>COUNTIF('MekHQ Inventory Export'!$1:$1499,"Mech Left Torso"&amp;$A8)</f>
        <v>0</v>
      </c>
      <c r="G8" s="2">
        <f>COUNTIF('Parts Required'!$1:$1500,'Inventory Summary'!F$1&amp;" "&amp;'Inventory Summary'!$A8)</f>
        <v>4</v>
      </c>
      <c r="H8" s="2">
        <f>COUNTIF('MekHQ Inventory Export'!$1:$1499,"Mech Right Arm "&amp;$A8)</f>
        <v>0</v>
      </c>
      <c r="I8" s="2">
        <f>COUNTIF('Parts Required'!$1:$1500,'Inventory Summary'!H$1&amp;" "&amp;'Inventory Summary'!$A8)</f>
        <v>4</v>
      </c>
      <c r="J8" s="2">
        <f>COUNTIF('MekHQ Inventory Export'!$1:$1499,"Mech Left Arm "&amp;$A8)</f>
        <v>0</v>
      </c>
      <c r="K8" s="2">
        <f>COUNTIF('Parts Required'!$1:$1500,'Inventory Summary'!J$1&amp;" "&amp;'Inventory Summary'!$A8)</f>
        <v>4</v>
      </c>
      <c r="L8" s="2">
        <f>COUNTIF('MekHQ Inventory Export'!$1:$1499,"Gyro "&amp;$A8)</f>
        <v>0</v>
      </c>
      <c r="M8" s="2">
        <f>COUNTIF('Parts Required'!$1:$1500,'Inventory Summary'!L$1&amp;" "&amp;'Inventory Summary'!$A8)</f>
        <v>4</v>
      </c>
      <c r="N8" s="2">
        <f>COUNTIF('MekHQ Inventory Export'!$1:$1499,"Mech Sensors "&amp;$A8)</f>
        <v>1</v>
      </c>
      <c r="O8" s="2">
        <f>COUNTIF('Parts Required'!$1:$1500,'Inventory Summary'!N$1&amp;" "&amp;'Inventory Summary'!$A8)</f>
        <v>0</v>
      </c>
      <c r="P8" s="2">
        <f>COUNTIF('MekHQ Inventory Export'!$1:$1499,"Mech Life Support System "&amp;$A8)</f>
        <v>1</v>
      </c>
      <c r="Q8" s="2">
        <f>COUNTIF('Parts Required'!$1:$1500,'Inventory Summary'!P$1&amp;" "&amp;'Inventory Summary'!$A8)</f>
        <v>4</v>
      </c>
      <c r="R8" s="2">
        <f>COUNTIF('MekHQ Inventory Export'!$1:$1499,"Upper Arm Actuator "&amp;$A8)</f>
        <v>2</v>
      </c>
      <c r="S8" s="2">
        <f>COUNTIF('Parts Required'!$1:$1500,'Inventory Summary'!R$1&amp;" "&amp;'Inventory Summary'!$A8)</f>
        <v>4</v>
      </c>
      <c r="T8" s="2">
        <f>COUNTIF('MekHQ Inventory Export'!$1:$1499,"Lower Arm Actuator "&amp;$A8)</f>
        <v>2</v>
      </c>
      <c r="U8" s="2">
        <f>COUNTIF('Parts Required'!$1:$1500,'Inventory Summary'!T$1&amp;" "&amp;'Inventory Summary'!$A8)</f>
        <v>4</v>
      </c>
      <c r="V8" s="2">
        <f>COUNTIF('MekHQ Inventory Export'!$1:$1499,"Hamd Actuator "&amp;$A8)</f>
        <v>0</v>
      </c>
      <c r="W8" s="2">
        <f>COUNTIF('Parts Required'!$1:$1500,'Inventory Summary'!V$1&amp;" "&amp;'Inventory Summary'!$A8)</f>
        <v>4</v>
      </c>
      <c r="X8" s="2">
        <f>COUNTIF('MekHQ Inventory Export'!$1:$1499,"Upper Leg Actuator "&amp;$A8)</f>
        <v>1</v>
      </c>
      <c r="Y8" s="2">
        <f>COUNTIF('Parts Required'!$1:$1500,'Inventory Summary'!X$1&amp;" "&amp;'Inventory Summary'!$A8)</f>
        <v>4</v>
      </c>
      <c r="Z8" s="2">
        <f>COUNTIF('MekHQ Inventory Export'!$1:$1499,"Lower Leg Actuator"&amp;$A8)</f>
        <v>0</v>
      </c>
      <c r="AA8" s="2">
        <f>COUNTIF('Parts Required'!$1:$1500,'Inventory Summary'!Z$1&amp;" "&amp;'Inventory Summary'!$A8)</f>
        <v>4</v>
      </c>
      <c r="AB8" s="2">
        <f>COUNTIF('MekHQ Inventory Export'!$1:$1499,"Foot Actuator "&amp;$A8)</f>
        <v>1</v>
      </c>
      <c r="AC8" s="2">
        <f>COUNTIF('Parts Required'!$1:$1500,'Inventory Summary'!AB$1&amp;" "&amp;'Inventory Summary'!$A8)</f>
        <v>4</v>
      </c>
    </row>
    <row r="9" spans="1:29" x14ac:dyDescent="0.2">
      <c r="A9" s="4" t="s">
        <v>9</v>
      </c>
      <c r="B9" s="2">
        <f>COUNTIF('MekHQ Inventory Export'!$1:$1499,"Mech Head "&amp;$A9)</f>
        <v>0</v>
      </c>
      <c r="C9" s="2">
        <f>COUNTIF('Parts Required'!$1:$1500,'Inventory Summary'!B$1&amp;" "&amp;'Inventory Summary'!$A9)</f>
        <v>2</v>
      </c>
      <c r="D9" s="2">
        <f>COUNTIF('MekHQ Inventory Export'!$1:$1499,"Mech Right Torso "&amp;$A9)</f>
        <v>0</v>
      </c>
      <c r="E9" s="2">
        <f>COUNTIF('Parts Required'!$1:$1500,'Inventory Summary'!D$1&amp;" "&amp;'Inventory Summary'!$A9)</f>
        <v>2</v>
      </c>
      <c r="F9" s="2">
        <f>COUNTIF('MekHQ Inventory Export'!$1:$1499,"Mech Left Torso"&amp;$A9)</f>
        <v>0</v>
      </c>
      <c r="G9" s="2">
        <f>COUNTIF('Parts Required'!$1:$1500,'Inventory Summary'!F$1&amp;" "&amp;'Inventory Summary'!$A9)</f>
        <v>2</v>
      </c>
      <c r="H9" s="2">
        <f>COUNTIF('MekHQ Inventory Export'!$1:$1499,"Mech Right Arm "&amp;$A9)</f>
        <v>0</v>
      </c>
      <c r="I9" s="2">
        <f>COUNTIF('Parts Required'!$1:$1500,'Inventory Summary'!H$1&amp;" "&amp;'Inventory Summary'!$A9)</f>
        <v>2</v>
      </c>
      <c r="J9" s="2">
        <f>COUNTIF('MekHQ Inventory Export'!$1:$1499,"Mech Left Arm "&amp;$A9)</f>
        <v>1</v>
      </c>
      <c r="K9" s="2">
        <f>COUNTIF('Parts Required'!$1:$1500,'Inventory Summary'!J$1&amp;" "&amp;'Inventory Summary'!$A9)</f>
        <v>2</v>
      </c>
      <c r="L9" s="2">
        <f>COUNTIF('MekHQ Inventory Export'!$1:$1499,"Gyro "&amp;$A9)</f>
        <v>0</v>
      </c>
      <c r="M9" s="2">
        <f>COUNTIF('Parts Required'!$1:$1500,'Inventory Summary'!L$1&amp;" "&amp;'Inventory Summary'!$A9)</f>
        <v>2</v>
      </c>
      <c r="N9" s="2">
        <f>COUNTIF('MekHQ Inventory Export'!$1:$1499,"Mech Sensors "&amp;$A9)</f>
        <v>1</v>
      </c>
      <c r="O9" s="2">
        <f>COUNTIF('Parts Required'!$1:$1500,'Inventory Summary'!N$1&amp;" "&amp;'Inventory Summary'!$A9)</f>
        <v>0</v>
      </c>
      <c r="P9" s="2">
        <f>COUNTIF('MekHQ Inventory Export'!$1:$1499,"Mech Life Support System "&amp;$A9)</f>
        <v>0</v>
      </c>
      <c r="Q9" s="2">
        <f>COUNTIF('Parts Required'!$1:$1500,'Inventory Summary'!P$1&amp;" "&amp;'Inventory Summary'!$A9)</f>
        <v>2</v>
      </c>
      <c r="R9" s="2">
        <f>COUNTIF('MekHQ Inventory Export'!$1:$1499,"Upper Arm Actuator "&amp;$A9)</f>
        <v>1</v>
      </c>
      <c r="S9" s="2">
        <f>COUNTIF('Parts Required'!$1:$1500,'Inventory Summary'!R$1&amp;" "&amp;'Inventory Summary'!$A9)</f>
        <v>2</v>
      </c>
      <c r="T9" s="2">
        <f>COUNTIF('MekHQ Inventory Export'!$1:$1499,"Lower Arm Actuator "&amp;$A9)</f>
        <v>1</v>
      </c>
      <c r="U9" s="2">
        <f>COUNTIF('Parts Required'!$1:$1500,'Inventory Summary'!T$1&amp;" "&amp;'Inventory Summary'!$A9)</f>
        <v>2</v>
      </c>
      <c r="V9" s="2">
        <f>COUNTIF('MekHQ Inventory Export'!$1:$1499,"Hamd Actuator "&amp;$A9)</f>
        <v>0</v>
      </c>
      <c r="W9" s="2">
        <f>COUNTIF('Parts Required'!$1:$1500,'Inventory Summary'!V$1&amp;" "&amp;'Inventory Summary'!$A9)</f>
        <v>2</v>
      </c>
      <c r="X9" s="2">
        <f>COUNTIF('MekHQ Inventory Export'!$1:$1499,"Upper Leg Actuator "&amp;$A9)</f>
        <v>1</v>
      </c>
      <c r="Y9" s="2">
        <f>COUNTIF('Parts Required'!$1:$1500,'Inventory Summary'!X$1&amp;" "&amp;'Inventory Summary'!$A9)</f>
        <v>2</v>
      </c>
      <c r="Z9" s="2">
        <f>COUNTIF('MekHQ Inventory Export'!$1:$1499,"Lower Leg Actuator"&amp;$A9)</f>
        <v>0</v>
      </c>
      <c r="AA9" s="2">
        <f>COUNTIF('Parts Required'!$1:$1500,'Inventory Summary'!Z$1&amp;" "&amp;'Inventory Summary'!$A9)</f>
        <v>2</v>
      </c>
      <c r="AB9" s="2">
        <f>COUNTIF('MekHQ Inventory Export'!$1:$1499,"Foot Actuator "&amp;$A9)</f>
        <v>1</v>
      </c>
      <c r="AC9" s="2">
        <f>COUNTIF('Parts Required'!$1:$1500,'Inventory Summary'!AB$1&amp;" "&amp;'Inventory Summary'!$A9)</f>
        <v>2</v>
      </c>
    </row>
    <row r="10" spans="1:29" x14ac:dyDescent="0.2">
      <c r="A10" s="4" t="s">
        <v>5</v>
      </c>
      <c r="B10" s="2">
        <f>COUNTIF('MekHQ Inventory Export'!$1:$1499,"Mech Head "&amp;$A10)</f>
        <v>1</v>
      </c>
      <c r="C10" s="2">
        <f>COUNTIF('Parts Required'!$1:$1500,'Inventory Summary'!B$1&amp;" "&amp;'Inventory Summary'!$A10)</f>
        <v>1</v>
      </c>
      <c r="D10" s="2">
        <f>COUNTIF('MekHQ Inventory Export'!$1:$1499,"Mech Right Torso "&amp;$A10)</f>
        <v>1</v>
      </c>
      <c r="E10" s="2">
        <f>COUNTIF('Parts Required'!$1:$1500,'Inventory Summary'!D$1&amp;" "&amp;'Inventory Summary'!$A10)</f>
        <v>1</v>
      </c>
      <c r="F10" s="2">
        <f>COUNTIF('MekHQ Inventory Export'!$1:$1499,"Mech Left Torso"&amp;$A10)</f>
        <v>0</v>
      </c>
      <c r="G10" s="2">
        <f>COUNTIF('Parts Required'!$1:$1500,'Inventory Summary'!F$1&amp;" "&amp;'Inventory Summary'!$A10)</f>
        <v>1</v>
      </c>
      <c r="H10" s="2">
        <f>COUNTIF('MekHQ Inventory Export'!$1:$1499,"Mech Right Arm "&amp;$A10)</f>
        <v>1</v>
      </c>
      <c r="I10" s="2">
        <f>COUNTIF('Parts Required'!$1:$1500,'Inventory Summary'!H$1&amp;" "&amp;'Inventory Summary'!$A10)</f>
        <v>1</v>
      </c>
      <c r="J10" s="2">
        <f>COUNTIF('MekHQ Inventory Export'!$1:$1499,"Mech Left Arm "&amp;$A10)</f>
        <v>1</v>
      </c>
      <c r="K10" s="2">
        <f>COUNTIF('Parts Required'!$1:$1500,'Inventory Summary'!J$1&amp;" "&amp;'Inventory Summary'!$A10)</f>
        <v>1</v>
      </c>
      <c r="L10" s="2">
        <f>COUNTIF('MekHQ Inventory Export'!$1:$1499,"Gyro "&amp;$A10)</f>
        <v>0</v>
      </c>
      <c r="M10" s="2">
        <f>COUNTIF('Parts Required'!$1:$1500,'Inventory Summary'!L$1&amp;" "&amp;'Inventory Summary'!$A10)</f>
        <v>1</v>
      </c>
      <c r="N10" s="2">
        <f>COUNTIF('MekHQ Inventory Export'!$1:$1499,"Mech Sensors "&amp;$A10)</f>
        <v>1</v>
      </c>
      <c r="O10" s="2">
        <f>COUNTIF('Parts Required'!$1:$1500,'Inventory Summary'!N$1&amp;" "&amp;'Inventory Summary'!$A10)</f>
        <v>0</v>
      </c>
      <c r="P10" s="2">
        <f>COUNTIF('MekHQ Inventory Export'!$1:$1499,"Mech Life Support System "&amp;$A10)</f>
        <v>0</v>
      </c>
      <c r="Q10" s="2">
        <f>COUNTIF('Parts Required'!$1:$1500,'Inventory Summary'!P$1&amp;" "&amp;'Inventory Summary'!$A10)</f>
        <v>1</v>
      </c>
      <c r="R10" s="2">
        <f>COUNTIF('MekHQ Inventory Export'!$1:$1499,"Upper Arm Actuator "&amp;$A10)</f>
        <v>1</v>
      </c>
      <c r="S10" s="2">
        <f>COUNTIF('Parts Required'!$1:$1500,'Inventory Summary'!R$1&amp;" "&amp;'Inventory Summary'!$A10)</f>
        <v>1</v>
      </c>
      <c r="T10" s="2">
        <f>COUNTIF('MekHQ Inventory Export'!$1:$1499,"Lower Arm Actuator "&amp;$A10)</f>
        <v>1</v>
      </c>
      <c r="U10" s="2">
        <f>COUNTIF('Parts Required'!$1:$1500,'Inventory Summary'!T$1&amp;" "&amp;'Inventory Summary'!$A10)</f>
        <v>1</v>
      </c>
      <c r="V10" s="2">
        <f>COUNTIF('MekHQ Inventory Export'!$1:$1499,"Hamd Actuator "&amp;$A10)</f>
        <v>0</v>
      </c>
      <c r="W10" s="2">
        <f>COUNTIF('Parts Required'!$1:$1500,'Inventory Summary'!V$1&amp;" "&amp;'Inventory Summary'!$A10)</f>
        <v>1</v>
      </c>
      <c r="X10" s="2">
        <f>COUNTIF('MekHQ Inventory Export'!$1:$1499,"Upper Leg Actuator "&amp;$A10)</f>
        <v>1</v>
      </c>
      <c r="Y10" s="2">
        <f>COUNTIF('Parts Required'!$1:$1500,'Inventory Summary'!X$1&amp;" "&amp;'Inventory Summary'!$A10)</f>
        <v>1</v>
      </c>
      <c r="Z10" s="2">
        <f>COUNTIF('MekHQ Inventory Export'!$1:$1499,"Lower Leg Actuator"&amp;$A10)</f>
        <v>0</v>
      </c>
      <c r="AA10" s="2">
        <f>COUNTIF('Parts Required'!$1:$1500,'Inventory Summary'!Z$1&amp;" "&amp;'Inventory Summary'!$A10)</f>
        <v>1</v>
      </c>
      <c r="AB10" s="2">
        <f>COUNTIF('MekHQ Inventory Export'!$1:$1499,"Foot Actuator "&amp;$A10)</f>
        <v>2</v>
      </c>
      <c r="AC10" s="2">
        <f>COUNTIF('Parts Required'!$1:$1500,'Inventory Summary'!AB$1&amp;" "&amp;'Inventory Summary'!$A10)</f>
        <v>1</v>
      </c>
    </row>
    <row r="11" spans="1:29" x14ac:dyDescent="0.2">
      <c r="A11" s="4" t="s">
        <v>13</v>
      </c>
      <c r="B11" s="2">
        <f>COUNTIF('MekHQ Inventory Export'!$1:$1499,"Mech Head "&amp;$A11)</f>
        <v>1</v>
      </c>
      <c r="C11" s="2">
        <f>COUNTIF('Parts Required'!$1:$1500,'Inventory Summary'!B$1&amp;" "&amp;'Inventory Summary'!$A11)</f>
        <v>2</v>
      </c>
      <c r="D11" s="2">
        <f>COUNTIF('MekHQ Inventory Export'!$1:$1499,"Mech Right Torso "&amp;$A11)</f>
        <v>0</v>
      </c>
      <c r="E11" s="2">
        <f>COUNTIF('Parts Required'!$1:$1500,'Inventory Summary'!D$1&amp;" "&amp;'Inventory Summary'!$A11)</f>
        <v>2</v>
      </c>
      <c r="F11" s="2">
        <f>COUNTIF('MekHQ Inventory Export'!$1:$1499,"Mech Left Torso"&amp;$A11)</f>
        <v>0</v>
      </c>
      <c r="G11" s="2">
        <f>COUNTIF('Parts Required'!$1:$1500,'Inventory Summary'!F$1&amp;" "&amp;'Inventory Summary'!$A11)</f>
        <v>2</v>
      </c>
      <c r="H11" s="2">
        <f>COUNTIF('MekHQ Inventory Export'!$1:$1499,"Mech Right Arm "&amp;$A11)</f>
        <v>1</v>
      </c>
      <c r="I11" s="2">
        <f>COUNTIF('Parts Required'!$1:$1500,'Inventory Summary'!H$1&amp;" "&amp;'Inventory Summary'!$A11)</f>
        <v>2</v>
      </c>
      <c r="J11" s="2">
        <f>COUNTIF('MekHQ Inventory Export'!$1:$1499,"Mech Left Arm "&amp;$A11)</f>
        <v>0</v>
      </c>
      <c r="K11" s="2">
        <f>COUNTIF('Parts Required'!$1:$1500,'Inventory Summary'!J$1&amp;" "&amp;'Inventory Summary'!$A11)</f>
        <v>2</v>
      </c>
      <c r="L11" s="2">
        <f>COUNTIF('MekHQ Inventory Export'!$1:$1499,"Gyro "&amp;$A11)</f>
        <v>0</v>
      </c>
      <c r="M11" s="2">
        <f>COUNTIF('Parts Required'!$1:$1500,'Inventory Summary'!L$1&amp;" "&amp;'Inventory Summary'!$A11)</f>
        <v>2</v>
      </c>
      <c r="N11" s="2">
        <f>COUNTIF('MekHQ Inventory Export'!$1:$1499,"Mech Sensors "&amp;$A11)</f>
        <v>1</v>
      </c>
      <c r="O11" s="2">
        <f>COUNTIF('Parts Required'!$1:$1500,'Inventory Summary'!N$1&amp;" "&amp;'Inventory Summary'!$A11)</f>
        <v>0</v>
      </c>
      <c r="P11" s="2">
        <f>COUNTIF('MekHQ Inventory Export'!$1:$1499,"Mech Life Support System "&amp;$A11)</f>
        <v>0</v>
      </c>
      <c r="Q11" s="2">
        <f>COUNTIF('Parts Required'!$1:$1500,'Inventory Summary'!P$1&amp;" "&amp;'Inventory Summary'!$A11)</f>
        <v>2</v>
      </c>
      <c r="R11" s="2">
        <f>COUNTIF('MekHQ Inventory Export'!$1:$1499,"Upper Arm Actuator "&amp;$A11)</f>
        <v>1</v>
      </c>
      <c r="S11" s="2">
        <f>COUNTIF('Parts Required'!$1:$1500,'Inventory Summary'!R$1&amp;" "&amp;'Inventory Summary'!$A11)</f>
        <v>2</v>
      </c>
      <c r="T11" s="2">
        <f>COUNTIF('MekHQ Inventory Export'!$1:$1499,"Lower Arm Actuator "&amp;$A11)</f>
        <v>1</v>
      </c>
      <c r="U11" s="2">
        <f>COUNTIF('Parts Required'!$1:$1500,'Inventory Summary'!T$1&amp;" "&amp;'Inventory Summary'!$A11)</f>
        <v>2</v>
      </c>
      <c r="V11" s="2">
        <f>COUNTIF('MekHQ Inventory Export'!$1:$1499,"Hamd Actuator "&amp;$A11)</f>
        <v>0</v>
      </c>
      <c r="W11" s="2">
        <f>COUNTIF('Parts Required'!$1:$1500,'Inventory Summary'!V$1&amp;" "&amp;'Inventory Summary'!$A11)</f>
        <v>2</v>
      </c>
      <c r="X11" s="2">
        <f>COUNTIF('MekHQ Inventory Export'!$1:$1499,"Upper Leg Actuator "&amp;$A11)</f>
        <v>1</v>
      </c>
      <c r="Y11" s="2">
        <f>COUNTIF('Parts Required'!$1:$1500,'Inventory Summary'!X$1&amp;" "&amp;'Inventory Summary'!$A11)</f>
        <v>2</v>
      </c>
      <c r="Z11" s="2">
        <f>COUNTIF('MekHQ Inventory Export'!$1:$1499,"Lower Leg Actuator"&amp;$A11)</f>
        <v>0</v>
      </c>
      <c r="AA11" s="2">
        <f>COUNTIF('Parts Required'!$1:$1500,'Inventory Summary'!Z$1&amp;" "&amp;'Inventory Summary'!$A11)</f>
        <v>2</v>
      </c>
      <c r="AB11" s="2">
        <f>COUNTIF('MekHQ Inventory Export'!$1:$1499,"Foot Actuator "&amp;$A11)</f>
        <v>1</v>
      </c>
      <c r="AC11" s="2">
        <f>COUNTIF('Parts Required'!$1:$1500,'Inventory Summary'!AB$1&amp;" "&amp;'Inventory Summary'!$A11)</f>
        <v>2</v>
      </c>
    </row>
    <row r="12" spans="1:29" x14ac:dyDescent="0.2">
      <c r="A12" s="4" t="s">
        <v>6</v>
      </c>
      <c r="B12" s="2">
        <f>COUNTIF('MekHQ Inventory Export'!$1:$1499,"Mech Head "&amp;$A12)</f>
        <v>0</v>
      </c>
      <c r="C12" s="2">
        <f>COUNTIF('Parts Required'!$1:$1500,'Inventory Summary'!B$1&amp;" "&amp;'Inventory Summary'!$A12)</f>
        <v>1</v>
      </c>
      <c r="D12" s="2">
        <f>COUNTIF('MekHQ Inventory Export'!$1:$1499,"Mech Right Torso "&amp;$A12)</f>
        <v>0</v>
      </c>
      <c r="E12" s="2">
        <f>COUNTIF('Parts Required'!$1:$1500,'Inventory Summary'!D$1&amp;" "&amp;'Inventory Summary'!$A12)</f>
        <v>1</v>
      </c>
      <c r="F12" s="2">
        <f>COUNTIF('MekHQ Inventory Export'!$1:$1499,"Mech Left Torso"&amp;$A12)</f>
        <v>0</v>
      </c>
      <c r="G12" s="2">
        <f>COUNTIF('Parts Required'!$1:$1500,'Inventory Summary'!F$1&amp;" "&amp;'Inventory Summary'!$A12)</f>
        <v>1</v>
      </c>
      <c r="H12" s="2">
        <f>COUNTIF('MekHQ Inventory Export'!$1:$1499,"Mech Right Arm "&amp;$A12)</f>
        <v>0</v>
      </c>
      <c r="I12" s="2">
        <f>COUNTIF('Parts Required'!$1:$1500,'Inventory Summary'!H$1&amp;" "&amp;'Inventory Summary'!$A12)</f>
        <v>1</v>
      </c>
      <c r="J12" s="2">
        <f>COUNTIF('MekHQ Inventory Export'!$1:$1499,"Mech Left Arm "&amp;$A12)</f>
        <v>0</v>
      </c>
      <c r="K12" s="2">
        <f>COUNTIF('Parts Required'!$1:$1500,'Inventory Summary'!J$1&amp;" "&amp;'Inventory Summary'!$A12)</f>
        <v>1</v>
      </c>
      <c r="L12" s="2">
        <f>COUNTIF('MekHQ Inventory Export'!$1:$1499,"Gyro "&amp;$A12)</f>
        <v>0</v>
      </c>
      <c r="M12" s="2">
        <f>COUNTIF('Parts Required'!$1:$1500,'Inventory Summary'!L$1&amp;" "&amp;'Inventory Summary'!$A12)</f>
        <v>1</v>
      </c>
      <c r="N12" s="2">
        <f>COUNTIF('MekHQ Inventory Export'!$1:$1499,"Mech Sensors "&amp;$A12)</f>
        <v>1</v>
      </c>
      <c r="O12" s="2">
        <f>COUNTIF('Parts Required'!$1:$1500,'Inventory Summary'!N$1&amp;" "&amp;'Inventory Summary'!$A12)</f>
        <v>0</v>
      </c>
      <c r="P12" s="2">
        <f>COUNTIF('MekHQ Inventory Export'!$1:$1499,"Mech Life Support System "&amp;$A12)</f>
        <v>0</v>
      </c>
      <c r="Q12" s="2">
        <f>COUNTIF('Parts Required'!$1:$1500,'Inventory Summary'!P$1&amp;" "&amp;'Inventory Summary'!$A12)</f>
        <v>1</v>
      </c>
      <c r="R12" s="2">
        <f>COUNTIF('MekHQ Inventory Export'!$1:$1499,"Upper Arm Actuator "&amp;$A12)</f>
        <v>1</v>
      </c>
      <c r="S12" s="2">
        <f>COUNTIF('Parts Required'!$1:$1500,'Inventory Summary'!R$1&amp;" "&amp;'Inventory Summary'!$A12)</f>
        <v>1</v>
      </c>
      <c r="T12" s="2">
        <f>COUNTIF('MekHQ Inventory Export'!$1:$1499,"Lower Arm Actuator "&amp;$A12)</f>
        <v>1</v>
      </c>
      <c r="U12" s="2">
        <f>COUNTIF('Parts Required'!$1:$1500,'Inventory Summary'!T$1&amp;" "&amp;'Inventory Summary'!$A12)</f>
        <v>1</v>
      </c>
      <c r="V12" s="2">
        <f>COUNTIF('MekHQ Inventory Export'!$1:$1499,"Hamd Actuator "&amp;$A12)</f>
        <v>0</v>
      </c>
      <c r="W12" s="2">
        <f>COUNTIF('Parts Required'!$1:$1500,'Inventory Summary'!V$1&amp;" "&amp;'Inventory Summary'!$A12)</f>
        <v>1</v>
      </c>
      <c r="X12" s="2">
        <f>COUNTIF('MekHQ Inventory Export'!$1:$1499,"Upper Leg Actuator "&amp;$A12)</f>
        <v>2</v>
      </c>
      <c r="Y12" s="2">
        <f>COUNTIF('Parts Required'!$1:$1500,'Inventory Summary'!X$1&amp;" "&amp;'Inventory Summary'!$A12)</f>
        <v>1</v>
      </c>
      <c r="Z12" s="2">
        <f>COUNTIF('MekHQ Inventory Export'!$1:$1499,"Lower Leg Actuator"&amp;$A12)</f>
        <v>0</v>
      </c>
      <c r="AA12" s="2">
        <f>COUNTIF('Parts Required'!$1:$1500,'Inventory Summary'!Z$1&amp;" "&amp;'Inventory Summary'!$A12)</f>
        <v>1</v>
      </c>
      <c r="AB12" s="2">
        <f>COUNTIF('MekHQ Inventory Export'!$1:$1499,"Foot Actuator "&amp;$A12)</f>
        <v>1</v>
      </c>
      <c r="AC12" s="2">
        <f>COUNTIF('Parts Required'!$1:$1500,'Inventory Summary'!AB$1&amp;" "&amp;'Inventory Summary'!$A12)</f>
        <v>1</v>
      </c>
    </row>
    <row r="13" spans="1:29" x14ac:dyDescent="0.2">
      <c r="A13" s="4" t="s">
        <v>14</v>
      </c>
      <c r="B13" s="2">
        <f>COUNTIF('MekHQ Inventory Export'!$1:$1499,"Mech Head "&amp;$A13)</f>
        <v>0</v>
      </c>
      <c r="C13" s="2">
        <f>COUNTIF('Parts Required'!$1:$1500,'Inventory Summary'!B$1&amp;" "&amp;'Inventory Summary'!$A13)</f>
        <v>1</v>
      </c>
      <c r="D13" s="2">
        <f>COUNTIF('MekHQ Inventory Export'!$1:$1499,"Mech Right Torso "&amp;$A13)</f>
        <v>0</v>
      </c>
      <c r="E13" s="2">
        <f>COUNTIF('Parts Required'!$1:$1500,'Inventory Summary'!D$1&amp;" "&amp;'Inventory Summary'!$A13)</f>
        <v>1</v>
      </c>
      <c r="F13" s="2">
        <f>COUNTIF('MekHQ Inventory Export'!$1:$1499,"Mech Left Torso"&amp;$A13)</f>
        <v>0</v>
      </c>
      <c r="G13" s="2">
        <f>COUNTIF('Parts Required'!$1:$1500,'Inventory Summary'!F$1&amp;" "&amp;'Inventory Summary'!$A13)</f>
        <v>1</v>
      </c>
      <c r="H13" s="2">
        <f>COUNTIF('MekHQ Inventory Export'!$1:$1499,"Mech Right Arm "&amp;$A13)</f>
        <v>0</v>
      </c>
      <c r="I13" s="2">
        <f>COUNTIF('Parts Required'!$1:$1500,'Inventory Summary'!H$1&amp;" "&amp;'Inventory Summary'!$A13)</f>
        <v>1</v>
      </c>
      <c r="J13" s="2">
        <f>COUNTIF('MekHQ Inventory Export'!$1:$1499,"Mech Left Arm "&amp;$A13)</f>
        <v>0</v>
      </c>
      <c r="K13" s="2">
        <f>COUNTIF('Parts Required'!$1:$1500,'Inventory Summary'!J$1&amp;" "&amp;'Inventory Summary'!$A13)</f>
        <v>1</v>
      </c>
      <c r="L13" s="2">
        <f>COUNTIF('MekHQ Inventory Export'!$1:$1499,"Gyro "&amp;$A13)</f>
        <v>0</v>
      </c>
      <c r="M13" s="2">
        <f>COUNTIF('Parts Required'!$1:$1500,'Inventory Summary'!L$1&amp;" "&amp;'Inventory Summary'!$A13)</f>
        <v>1</v>
      </c>
      <c r="N13" s="2">
        <f>COUNTIF('MekHQ Inventory Export'!$1:$1499,"Mech Sensors "&amp;$A13)</f>
        <v>1</v>
      </c>
      <c r="O13" s="2">
        <f>COUNTIF('Parts Required'!$1:$1500,'Inventory Summary'!N$1&amp;" "&amp;'Inventory Summary'!$A13)</f>
        <v>0</v>
      </c>
      <c r="P13" s="2">
        <f>COUNTIF('MekHQ Inventory Export'!$1:$1499,"Mech Life Support System "&amp;$A13)</f>
        <v>0</v>
      </c>
      <c r="Q13" s="2">
        <f>COUNTIF('Parts Required'!$1:$1500,'Inventory Summary'!P$1&amp;" "&amp;'Inventory Summary'!$A13)</f>
        <v>1</v>
      </c>
      <c r="R13" s="2">
        <f>COUNTIF('MekHQ Inventory Export'!$1:$1499,"Upper Arm Actuator "&amp;$A13)</f>
        <v>1</v>
      </c>
      <c r="S13" s="2">
        <f>COUNTIF('Parts Required'!$1:$1500,'Inventory Summary'!R$1&amp;" "&amp;'Inventory Summary'!$A13)</f>
        <v>1</v>
      </c>
      <c r="T13" s="2">
        <f>COUNTIF('MekHQ Inventory Export'!$1:$1499,"Lower Arm Actuator "&amp;$A13)</f>
        <v>1</v>
      </c>
      <c r="U13" s="2">
        <f>COUNTIF('Parts Required'!$1:$1500,'Inventory Summary'!T$1&amp;" "&amp;'Inventory Summary'!$A13)</f>
        <v>1</v>
      </c>
      <c r="V13" s="2">
        <f>COUNTIF('MekHQ Inventory Export'!$1:$1499,"Hamd Actuator "&amp;$A13)</f>
        <v>0</v>
      </c>
      <c r="W13" s="2">
        <f>COUNTIF('Parts Required'!$1:$1500,'Inventory Summary'!V$1&amp;" "&amp;'Inventory Summary'!$A13)</f>
        <v>1</v>
      </c>
      <c r="X13" s="2">
        <f>COUNTIF('MekHQ Inventory Export'!$1:$1499,"Upper Leg Actuator "&amp;$A13)</f>
        <v>2</v>
      </c>
      <c r="Y13" s="2">
        <f>COUNTIF('Parts Required'!$1:$1500,'Inventory Summary'!X$1&amp;" "&amp;'Inventory Summary'!$A13)</f>
        <v>1</v>
      </c>
      <c r="Z13" s="2">
        <f>COUNTIF('MekHQ Inventory Export'!$1:$1499,"Lower Leg Actuator"&amp;$A13)</f>
        <v>0</v>
      </c>
      <c r="AA13" s="2">
        <f>COUNTIF('Parts Required'!$1:$1500,'Inventory Summary'!Z$1&amp;" "&amp;'Inventory Summary'!$A13)</f>
        <v>1</v>
      </c>
      <c r="AB13" s="2">
        <f>COUNTIF('MekHQ Inventory Export'!$1:$1499,"Foot Actuator "&amp;$A13)</f>
        <v>1</v>
      </c>
      <c r="AC13" s="2">
        <f>COUNTIF('Parts Required'!$1:$1500,'Inventory Summary'!AB$1&amp;" "&amp;'Inventory Summary'!$A13)</f>
        <v>1</v>
      </c>
    </row>
    <row r="14" spans="1:29" x14ac:dyDescent="0.2">
      <c r="A14" s="4" t="s">
        <v>7</v>
      </c>
      <c r="B14" s="2">
        <f>COUNTIF('MekHQ Inventory Export'!$1:$1499,"Mech Head "&amp;$A14)</f>
        <v>0</v>
      </c>
      <c r="C14" s="2">
        <f>COUNTIF('Parts Required'!$1:$1500,'Inventory Summary'!B$1&amp;" "&amp;'Inventory Summary'!$A14)</f>
        <v>0</v>
      </c>
      <c r="D14" s="2">
        <f>COUNTIF('MekHQ Inventory Export'!$1:$1499,"Mech Right Torso "&amp;$A14)</f>
        <v>0</v>
      </c>
      <c r="E14" s="2">
        <f>COUNTIF('Parts Required'!$1:$1500,'Inventory Summary'!D$1&amp;" "&amp;'Inventory Summary'!$A14)</f>
        <v>0</v>
      </c>
      <c r="F14" s="2">
        <f>COUNTIF('MekHQ Inventory Export'!$1:$1499,"Mech Left Torso"&amp;$A14)</f>
        <v>0</v>
      </c>
      <c r="G14" s="2">
        <f>COUNTIF('Parts Required'!$1:$1500,'Inventory Summary'!F$1&amp;" "&amp;'Inventory Summary'!$A14)</f>
        <v>0</v>
      </c>
      <c r="H14" s="2">
        <f>COUNTIF('MekHQ Inventory Export'!$1:$1499,"Mech Right Arm "&amp;$A14)</f>
        <v>0</v>
      </c>
      <c r="I14" s="2">
        <f>COUNTIF('Parts Required'!$1:$1500,'Inventory Summary'!H$1&amp;" "&amp;'Inventory Summary'!$A14)</f>
        <v>0</v>
      </c>
      <c r="J14" s="2">
        <f>COUNTIF('MekHQ Inventory Export'!$1:$1499,"Mech Left Arm "&amp;$A14)</f>
        <v>0</v>
      </c>
      <c r="K14" s="2">
        <f>COUNTIF('Parts Required'!$1:$1500,'Inventory Summary'!J$1&amp;" "&amp;'Inventory Summary'!$A14)</f>
        <v>0</v>
      </c>
      <c r="L14" s="2">
        <f>COUNTIF('MekHQ Inventory Export'!$1:$1499,"Gyro "&amp;$A14)</f>
        <v>0</v>
      </c>
      <c r="M14" s="2">
        <f>COUNTIF('Parts Required'!$1:$1500,'Inventory Summary'!L$1&amp;" "&amp;'Inventory Summary'!$A14)</f>
        <v>0</v>
      </c>
      <c r="N14" s="2">
        <f>COUNTIF('MekHQ Inventory Export'!$1:$1499,"Mech Sensors "&amp;$A14)</f>
        <v>0</v>
      </c>
      <c r="O14" s="2">
        <f>COUNTIF('Parts Required'!$1:$1500,'Inventory Summary'!N$1&amp;" "&amp;'Inventory Summary'!$A14)</f>
        <v>0</v>
      </c>
      <c r="P14" s="2">
        <f>COUNTIF('MekHQ Inventory Export'!$1:$1499,"Mech Life Support System "&amp;$A14)</f>
        <v>0</v>
      </c>
      <c r="Q14" s="2">
        <f>COUNTIF('Parts Required'!$1:$1500,'Inventory Summary'!P$1&amp;" "&amp;'Inventory Summary'!$A14)</f>
        <v>0</v>
      </c>
      <c r="R14" s="2">
        <f>COUNTIF('MekHQ Inventory Export'!$1:$1499,"Upper Arm Actuator "&amp;$A14)</f>
        <v>0</v>
      </c>
      <c r="S14" s="2">
        <f>COUNTIF('Parts Required'!$1:$1500,'Inventory Summary'!R$1&amp;" "&amp;'Inventory Summary'!$A14)</f>
        <v>0</v>
      </c>
      <c r="T14" s="2">
        <f>COUNTIF('MekHQ Inventory Export'!$1:$1499,"Lower Arm Actuator "&amp;$A14)</f>
        <v>0</v>
      </c>
      <c r="U14" s="2">
        <f>COUNTIF('Parts Required'!$1:$1500,'Inventory Summary'!T$1&amp;" "&amp;'Inventory Summary'!$A14)</f>
        <v>0</v>
      </c>
      <c r="V14" s="2">
        <f>COUNTIF('MekHQ Inventory Export'!$1:$1499,"Hamd Actuator "&amp;$A14)</f>
        <v>0</v>
      </c>
      <c r="W14" s="2">
        <f>COUNTIF('Parts Required'!$1:$1500,'Inventory Summary'!V$1&amp;" "&amp;'Inventory Summary'!$A14)</f>
        <v>0</v>
      </c>
      <c r="X14" s="2">
        <f>COUNTIF('MekHQ Inventory Export'!$1:$1499,"Upper Leg Actuator "&amp;$A14)</f>
        <v>0</v>
      </c>
      <c r="Y14" s="2">
        <f>COUNTIF('Parts Required'!$1:$1500,'Inventory Summary'!X$1&amp;" "&amp;'Inventory Summary'!$A14)</f>
        <v>0</v>
      </c>
      <c r="Z14" s="2">
        <f>COUNTIF('MekHQ Inventory Export'!$1:$1499,"Lower Leg Actuator"&amp;$A14)</f>
        <v>0</v>
      </c>
      <c r="AA14" s="2">
        <f>COUNTIF('Parts Required'!$1:$1500,'Inventory Summary'!Z$1&amp;" "&amp;'Inventory Summary'!$A14)</f>
        <v>0</v>
      </c>
      <c r="AB14" s="2">
        <f>COUNTIF('MekHQ Inventory Export'!$1:$1499,"Foot Actuator "&amp;$A14)</f>
        <v>0</v>
      </c>
      <c r="AC14" s="2">
        <f>COUNTIF('Parts Required'!$1:$1500,'Inventory Summary'!AB$1&amp;" "&amp;'Inventory Summary'!$A14)</f>
        <v>0</v>
      </c>
    </row>
    <row r="15" spans="1:29" x14ac:dyDescent="0.2">
      <c r="A15" s="4" t="s">
        <v>15</v>
      </c>
      <c r="B15" s="2">
        <f>COUNTIF('MekHQ Inventory Export'!$1:$1499,"Mech Head "&amp;$A15)</f>
        <v>0</v>
      </c>
      <c r="C15" s="2">
        <f>COUNTIF('Parts Required'!$1:$1500,'Inventory Summary'!B$1&amp;" "&amp;'Inventory Summary'!$A15)</f>
        <v>2</v>
      </c>
      <c r="D15" s="2">
        <f>COUNTIF('MekHQ Inventory Export'!$1:$1499,"Mech Right Torso "&amp;$A15)</f>
        <v>0</v>
      </c>
      <c r="E15" s="2">
        <f>COUNTIF('Parts Required'!$1:$1500,'Inventory Summary'!D$1&amp;" "&amp;'Inventory Summary'!$A15)</f>
        <v>2</v>
      </c>
      <c r="F15" s="2">
        <f>COUNTIF('MekHQ Inventory Export'!$1:$1499,"Mech Left Torso"&amp;$A15)</f>
        <v>0</v>
      </c>
      <c r="G15" s="2">
        <f>COUNTIF('Parts Required'!$1:$1500,'Inventory Summary'!F$1&amp;" "&amp;'Inventory Summary'!$A15)</f>
        <v>2</v>
      </c>
      <c r="H15" s="2">
        <f>COUNTIF('MekHQ Inventory Export'!$1:$1499,"Mech Right Arm "&amp;$A15)</f>
        <v>0</v>
      </c>
      <c r="I15" s="2">
        <f>COUNTIF('Parts Required'!$1:$1500,'Inventory Summary'!H$1&amp;" "&amp;'Inventory Summary'!$A15)</f>
        <v>2</v>
      </c>
      <c r="J15" s="2">
        <f>COUNTIF('MekHQ Inventory Export'!$1:$1499,"Mech Left Arm "&amp;$A15)</f>
        <v>0</v>
      </c>
      <c r="K15" s="2">
        <f>COUNTIF('Parts Required'!$1:$1500,'Inventory Summary'!J$1&amp;" "&amp;'Inventory Summary'!$A15)</f>
        <v>2</v>
      </c>
      <c r="L15" s="2">
        <f>COUNTIF('MekHQ Inventory Export'!$1:$1499,"Gyro "&amp;$A15)</f>
        <v>0</v>
      </c>
      <c r="M15" s="2">
        <f>COUNTIF('Parts Required'!$1:$1500,'Inventory Summary'!L$1&amp;" "&amp;'Inventory Summary'!$A15)</f>
        <v>2</v>
      </c>
      <c r="N15" s="2">
        <f>COUNTIF('MekHQ Inventory Export'!$1:$1499,"Mech Sensors "&amp;$A15)</f>
        <v>1</v>
      </c>
      <c r="O15" s="2">
        <f>COUNTIF('Parts Required'!$1:$1500,'Inventory Summary'!N$1&amp;" "&amp;'Inventory Summary'!$A15)</f>
        <v>0</v>
      </c>
      <c r="P15" s="2">
        <f>COUNTIF('MekHQ Inventory Export'!$1:$1499,"Mech Life Support System "&amp;$A15)</f>
        <v>0</v>
      </c>
      <c r="Q15" s="2">
        <f>COUNTIF('Parts Required'!$1:$1500,'Inventory Summary'!P$1&amp;" "&amp;'Inventory Summary'!$A15)</f>
        <v>2</v>
      </c>
      <c r="R15" s="2">
        <f>COUNTIF('MekHQ Inventory Export'!$1:$1499,"Upper Arm Actuator "&amp;$A15)</f>
        <v>1</v>
      </c>
      <c r="S15" s="2">
        <f>COUNTIF('Parts Required'!$1:$1500,'Inventory Summary'!R$1&amp;" "&amp;'Inventory Summary'!$A15)</f>
        <v>2</v>
      </c>
      <c r="T15" s="2">
        <f>COUNTIF('MekHQ Inventory Export'!$1:$1499,"Lower Arm Actuator "&amp;$A15)</f>
        <v>1</v>
      </c>
      <c r="U15" s="2">
        <f>COUNTIF('Parts Required'!$1:$1500,'Inventory Summary'!T$1&amp;" "&amp;'Inventory Summary'!$A15)</f>
        <v>2</v>
      </c>
      <c r="V15" s="2">
        <f>COUNTIF('MekHQ Inventory Export'!$1:$1499,"Hamd Actuator "&amp;$A15)</f>
        <v>0</v>
      </c>
      <c r="W15" s="2">
        <f>COUNTIF('Parts Required'!$1:$1500,'Inventory Summary'!V$1&amp;" "&amp;'Inventory Summary'!$A15)</f>
        <v>2</v>
      </c>
      <c r="X15" s="2">
        <f>COUNTIF('MekHQ Inventory Export'!$1:$1499,"Upper Leg Actuator "&amp;$A15)</f>
        <v>1</v>
      </c>
      <c r="Y15" s="2">
        <f>COUNTIF('Parts Required'!$1:$1500,'Inventory Summary'!X$1&amp;" "&amp;'Inventory Summary'!$A15)</f>
        <v>2</v>
      </c>
      <c r="Z15" s="2">
        <f>COUNTIF('MekHQ Inventory Export'!$1:$1499,"Lower Leg Actuator"&amp;$A15)</f>
        <v>0</v>
      </c>
      <c r="AA15" s="2">
        <f>COUNTIF('Parts Required'!$1:$1500,'Inventory Summary'!Z$1&amp;" "&amp;'Inventory Summary'!$A15)</f>
        <v>2</v>
      </c>
      <c r="AB15" s="2">
        <f>COUNTIF('MekHQ Inventory Export'!$1:$1499,"Foot Actuator "&amp;$A15)</f>
        <v>1</v>
      </c>
      <c r="AC15" s="2">
        <f>COUNTIF('Parts Required'!$1:$1500,'Inventory Summary'!AB$1&amp;" "&amp;'Inventory Summary'!$A15)</f>
        <v>2</v>
      </c>
    </row>
    <row r="16" spans="1:29" x14ac:dyDescent="0.2">
      <c r="A16" s="4" t="s">
        <v>8</v>
      </c>
      <c r="B16" s="2">
        <f>COUNTIF('MekHQ Inventory Export'!$1:$1499,"Mech Head "&amp;$A16)</f>
        <v>0</v>
      </c>
      <c r="C16" s="2">
        <f>COUNTIF('Parts Required'!$1:$1500,'Inventory Summary'!B$1&amp;" "&amp;'Inventory Summary'!$A16)</f>
        <v>0</v>
      </c>
      <c r="D16" s="2">
        <f>COUNTIF('MekHQ Inventory Export'!$1:$1499,"Mech Right Torso "&amp;$A16)</f>
        <v>0</v>
      </c>
      <c r="E16" s="2">
        <f>COUNTIF('Parts Required'!$1:$1500,'Inventory Summary'!D$1&amp;" "&amp;'Inventory Summary'!$A16)</f>
        <v>0</v>
      </c>
      <c r="F16" s="2">
        <f>COUNTIF('MekHQ Inventory Export'!$1:$1499,"Mech Left Torso"&amp;$A16)</f>
        <v>0</v>
      </c>
      <c r="G16" s="2">
        <f>COUNTIF('Parts Required'!$1:$1500,'Inventory Summary'!F$1&amp;" "&amp;'Inventory Summary'!$A16)</f>
        <v>0</v>
      </c>
      <c r="H16" s="2">
        <f>COUNTIF('MekHQ Inventory Export'!$1:$1499,"Mech Right Arm "&amp;$A16)</f>
        <v>0</v>
      </c>
      <c r="I16" s="2">
        <f>COUNTIF('Parts Required'!$1:$1500,'Inventory Summary'!H$1&amp;" "&amp;'Inventory Summary'!$A16)</f>
        <v>0</v>
      </c>
      <c r="J16" s="2">
        <f>COUNTIF('MekHQ Inventory Export'!$1:$1499,"Mech Left Arm "&amp;$A16)</f>
        <v>0</v>
      </c>
      <c r="K16" s="2">
        <f>COUNTIF('Parts Required'!$1:$1500,'Inventory Summary'!J$1&amp;" "&amp;'Inventory Summary'!$A16)</f>
        <v>0</v>
      </c>
      <c r="L16" s="2">
        <f>COUNTIF('MekHQ Inventory Export'!$1:$1499,"Gyro "&amp;$A16)</f>
        <v>0</v>
      </c>
      <c r="M16" s="2">
        <f>COUNTIF('Parts Required'!$1:$1500,'Inventory Summary'!L$1&amp;" "&amp;'Inventory Summary'!$A16)</f>
        <v>0</v>
      </c>
      <c r="N16" s="2">
        <f>COUNTIF('MekHQ Inventory Export'!$1:$1499,"Mech Sensors "&amp;$A16)</f>
        <v>0</v>
      </c>
      <c r="O16" s="2">
        <f>COUNTIF('Parts Required'!$1:$1500,'Inventory Summary'!N$1&amp;" "&amp;'Inventory Summary'!$A16)</f>
        <v>0</v>
      </c>
      <c r="P16" s="2">
        <f>COUNTIF('MekHQ Inventory Export'!$1:$1499,"Mech Life Support System "&amp;$A16)</f>
        <v>0</v>
      </c>
      <c r="Q16" s="2">
        <f>COUNTIF('Parts Required'!$1:$1500,'Inventory Summary'!P$1&amp;" "&amp;'Inventory Summary'!$A16)</f>
        <v>0</v>
      </c>
      <c r="R16" s="2">
        <f>COUNTIF('MekHQ Inventory Export'!$1:$1499,"Upper Arm Actuator "&amp;$A16)</f>
        <v>0</v>
      </c>
      <c r="S16" s="2">
        <f>COUNTIF('Parts Required'!$1:$1500,'Inventory Summary'!R$1&amp;" "&amp;'Inventory Summary'!$A16)</f>
        <v>0</v>
      </c>
      <c r="T16" s="2">
        <f>COUNTIF('MekHQ Inventory Export'!$1:$1499,"Lower Arm Actuator "&amp;$A16)</f>
        <v>0</v>
      </c>
      <c r="U16" s="2">
        <f>COUNTIF('Parts Required'!$1:$1500,'Inventory Summary'!T$1&amp;" "&amp;'Inventory Summary'!$A16)</f>
        <v>0</v>
      </c>
      <c r="V16" s="2">
        <f>COUNTIF('MekHQ Inventory Export'!$1:$1499,"Hamd Actuator "&amp;$A16)</f>
        <v>0</v>
      </c>
      <c r="W16" s="2">
        <f>COUNTIF('Parts Required'!$1:$1500,'Inventory Summary'!V$1&amp;" "&amp;'Inventory Summary'!$A16)</f>
        <v>0</v>
      </c>
      <c r="X16" s="2">
        <f>COUNTIF('MekHQ Inventory Export'!$1:$1499,"Upper Leg Actuator "&amp;$A16)</f>
        <v>0</v>
      </c>
      <c r="Y16" s="2">
        <f>COUNTIF('Parts Required'!$1:$1500,'Inventory Summary'!X$1&amp;" "&amp;'Inventory Summary'!$A16)</f>
        <v>0</v>
      </c>
      <c r="Z16" s="2">
        <f>COUNTIF('MekHQ Inventory Export'!$1:$1499,"Lower Leg Actuator"&amp;$A16)</f>
        <v>0</v>
      </c>
      <c r="AA16" s="2">
        <f>COUNTIF('Parts Required'!$1:$1500,'Inventory Summary'!Z$1&amp;" "&amp;'Inventory Summary'!$A16)</f>
        <v>0</v>
      </c>
      <c r="AB16" s="2">
        <f>COUNTIF('MekHQ Inventory Export'!$1:$1499,"Foot Actuator "&amp;$A16)</f>
        <v>0</v>
      </c>
      <c r="AC16" s="2">
        <f>COUNTIF('Parts Required'!$1:$1500,'Inventory Summary'!AB$1&amp;" "&amp;'Inventory Summary'!$A16)</f>
        <v>0</v>
      </c>
    </row>
    <row r="17" spans="1:29" x14ac:dyDescent="0.2">
      <c r="A17" s="4" t="s">
        <v>16</v>
      </c>
      <c r="B17" s="2">
        <f>COUNTIF('MekHQ Inventory Export'!$1:$1499,"Mech Head "&amp;$A17)</f>
        <v>0</v>
      </c>
      <c r="C17" s="2">
        <f>COUNTIF('Parts Required'!$1:$1500,'Inventory Summary'!B$1&amp;" "&amp;'Inventory Summary'!$A17)</f>
        <v>0</v>
      </c>
      <c r="D17" s="2">
        <f>COUNTIF('MekHQ Inventory Export'!$1:$1499,"Mech Right Torso "&amp;$A17)</f>
        <v>0</v>
      </c>
      <c r="E17" s="2">
        <f>COUNTIF('Parts Required'!$1:$1500,'Inventory Summary'!D$1&amp;" "&amp;'Inventory Summary'!$A17)</f>
        <v>0</v>
      </c>
      <c r="F17" s="2">
        <f>COUNTIF('MekHQ Inventory Export'!$1:$1499,"Mech Left Torso"&amp;$A17)</f>
        <v>0</v>
      </c>
      <c r="G17" s="2">
        <f>COUNTIF('Parts Required'!$1:$1500,'Inventory Summary'!F$1&amp;" "&amp;'Inventory Summary'!$A17)</f>
        <v>0</v>
      </c>
      <c r="H17" s="2">
        <f>COUNTIF('MekHQ Inventory Export'!$1:$1499,"Mech Right Arm "&amp;$A17)</f>
        <v>0</v>
      </c>
      <c r="I17" s="2">
        <f>COUNTIF('Parts Required'!$1:$1500,'Inventory Summary'!H$1&amp;" "&amp;'Inventory Summary'!$A17)</f>
        <v>0</v>
      </c>
      <c r="J17" s="2">
        <f>COUNTIF('MekHQ Inventory Export'!$1:$1499,"Mech Left Arm "&amp;$A17)</f>
        <v>0</v>
      </c>
      <c r="K17" s="2">
        <f>COUNTIF('Parts Required'!$1:$1500,'Inventory Summary'!J$1&amp;" "&amp;'Inventory Summary'!$A17)</f>
        <v>0</v>
      </c>
      <c r="L17" s="2">
        <f>COUNTIF('MekHQ Inventory Export'!$1:$1499,"Gyro "&amp;$A17)</f>
        <v>0</v>
      </c>
      <c r="M17" s="2">
        <f>COUNTIF('Parts Required'!$1:$1500,'Inventory Summary'!L$1&amp;" "&amp;'Inventory Summary'!$A17)</f>
        <v>0</v>
      </c>
      <c r="N17" s="2">
        <f>COUNTIF('MekHQ Inventory Export'!$1:$1499,"Mech Sensors "&amp;$A17)</f>
        <v>0</v>
      </c>
      <c r="O17" s="2">
        <f>COUNTIF('Parts Required'!$1:$1500,'Inventory Summary'!N$1&amp;" "&amp;'Inventory Summary'!$A17)</f>
        <v>0</v>
      </c>
      <c r="P17" s="2">
        <f>COUNTIF('MekHQ Inventory Export'!$1:$1499,"Mech Life Support System "&amp;$A17)</f>
        <v>0</v>
      </c>
      <c r="Q17" s="2">
        <f>COUNTIF('Parts Required'!$1:$1500,'Inventory Summary'!P$1&amp;" "&amp;'Inventory Summary'!$A17)</f>
        <v>0</v>
      </c>
      <c r="R17" s="2">
        <f>COUNTIF('MekHQ Inventory Export'!$1:$1499,"Upper Arm Actuator "&amp;$A17)</f>
        <v>0</v>
      </c>
      <c r="S17" s="2">
        <f>COUNTIF('Parts Required'!$1:$1500,'Inventory Summary'!R$1&amp;" "&amp;'Inventory Summary'!$A17)</f>
        <v>0</v>
      </c>
      <c r="T17" s="2">
        <f>COUNTIF('MekHQ Inventory Export'!$1:$1499,"Lower Arm Actuator "&amp;$A17)</f>
        <v>0</v>
      </c>
      <c r="U17" s="2">
        <f>COUNTIF('Parts Required'!$1:$1500,'Inventory Summary'!T$1&amp;" "&amp;'Inventory Summary'!$A17)</f>
        <v>0</v>
      </c>
      <c r="V17" s="2">
        <f>COUNTIF('MekHQ Inventory Export'!$1:$1499,"Hamd Actuator "&amp;$A17)</f>
        <v>0</v>
      </c>
      <c r="W17" s="2">
        <f>COUNTIF('Parts Required'!$1:$1500,'Inventory Summary'!V$1&amp;" "&amp;'Inventory Summary'!$A17)</f>
        <v>0</v>
      </c>
      <c r="X17" s="2">
        <f>COUNTIF('MekHQ Inventory Export'!$1:$1499,"Upper Leg Actuator "&amp;$A17)</f>
        <v>0</v>
      </c>
      <c r="Y17" s="2">
        <f>COUNTIF('Parts Required'!$1:$1500,'Inventory Summary'!X$1&amp;" "&amp;'Inventory Summary'!$A17)</f>
        <v>0</v>
      </c>
      <c r="Z17" s="2">
        <f>COUNTIF('MekHQ Inventory Export'!$1:$1499,"Lower Leg Actuator"&amp;$A17)</f>
        <v>0</v>
      </c>
      <c r="AA17" s="2">
        <f>COUNTIF('Parts Required'!$1:$1500,'Inventory Summary'!Z$1&amp;" "&amp;'Inventory Summary'!$A17)</f>
        <v>0</v>
      </c>
      <c r="AB17" s="2">
        <f>COUNTIF('MekHQ Inventory Export'!$1:$1499,"Foot Actuator "&amp;$A17)</f>
        <v>0</v>
      </c>
      <c r="AC17" s="2">
        <f>COUNTIF('Parts Required'!$1:$1500,'Inventory Summary'!AB$1&amp;" "&amp;'Inventory Summary'!$A17)</f>
        <v>0</v>
      </c>
    </row>
    <row r="18" spans="1:29" x14ac:dyDescent="0.2">
      <c r="A18" s="4" t="s">
        <v>17</v>
      </c>
      <c r="B18" s="2">
        <f>COUNTIF('MekHQ Inventory Export'!$1:$1499,"Mech Head "&amp;$A18)</f>
        <v>0</v>
      </c>
      <c r="C18" s="2">
        <f>COUNTIF('Parts Required'!$1:$1500,'Inventory Summary'!B$1&amp;" "&amp;'Inventory Summary'!$A18)</f>
        <v>0</v>
      </c>
      <c r="D18" s="2">
        <f>COUNTIF('MekHQ Inventory Export'!$1:$1499,"Mech Right Torso "&amp;$A18)</f>
        <v>0</v>
      </c>
      <c r="E18" s="2">
        <f>COUNTIF('Parts Required'!$1:$1500,'Inventory Summary'!D$1&amp;" "&amp;'Inventory Summary'!$A18)</f>
        <v>0</v>
      </c>
      <c r="F18" s="2">
        <f>COUNTIF('MekHQ Inventory Export'!$1:$1499,"Mech Left Torso"&amp;$A18)</f>
        <v>0</v>
      </c>
      <c r="G18" s="2">
        <f>COUNTIF('Parts Required'!$1:$1500,'Inventory Summary'!F$1&amp;" "&amp;'Inventory Summary'!$A18)</f>
        <v>0</v>
      </c>
      <c r="H18" s="2">
        <f>COUNTIF('MekHQ Inventory Export'!$1:$1499,"Mech Right Arm "&amp;$A18)</f>
        <v>0</v>
      </c>
      <c r="I18" s="2">
        <f>COUNTIF('Parts Required'!$1:$1500,'Inventory Summary'!H$1&amp;" "&amp;'Inventory Summary'!$A18)</f>
        <v>0</v>
      </c>
      <c r="J18" s="2">
        <f>COUNTIF('MekHQ Inventory Export'!$1:$1499,"Mech Left Arm "&amp;$A18)</f>
        <v>0</v>
      </c>
      <c r="K18" s="2">
        <f>COUNTIF('Parts Required'!$1:$1500,'Inventory Summary'!J$1&amp;" "&amp;'Inventory Summary'!$A18)</f>
        <v>0</v>
      </c>
      <c r="L18" s="2">
        <f>COUNTIF('MekHQ Inventory Export'!$1:$1499,"Gyro "&amp;$A18)</f>
        <v>0</v>
      </c>
      <c r="M18" s="2">
        <f>COUNTIF('Parts Required'!$1:$1500,'Inventory Summary'!L$1&amp;" "&amp;'Inventory Summary'!$A18)</f>
        <v>0</v>
      </c>
      <c r="N18" s="2">
        <f>COUNTIF('MekHQ Inventory Export'!$1:$1499,"Mech Sensors "&amp;$A18)</f>
        <v>0</v>
      </c>
      <c r="O18" s="2">
        <f>COUNTIF('Parts Required'!$1:$1500,'Inventory Summary'!N$1&amp;" "&amp;'Inventory Summary'!$A18)</f>
        <v>0</v>
      </c>
      <c r="P18" s="2">
        <f>COUNTIF('MekHQ Inventory Export'!$1:$1499,"Mech Life Support System "&amp;$A18)</f>
        <v>0</v>
      </c>
      <c r="Q18" s="2">
        <f>COUNTIF('Parts Required'!$1:$1500,'Inventory Summary'!P$1&amp;" "&amp;'Inventory Summary'!$A18)</f>
        <v>0</v>
      </c>
      <c r="R18" s="2">
        <f>COUNTIF('MekHQ Inventory Export'!$1:$1499,"Upper Arm Actuator "&amp;$A18)</f>
        <v>0</v>
      </c>
      <c r="S18" s="2">
        <f>COUNTIF('Parts Required'!$1:$1500,'Inventory Summary'!R$1&amp;" "&amp;'Inventory Summary'!$A18)</f>
        <v>0</v>
      </c>
      <c r="T18" s="2">
        <f>COUNTIF('MekHQ Inventory Export'!$1:$1499,"Lower Arm Actuator "&amp;$A18)</f>
        <v>0</v>
      </c>
      <c r="U18" s="2">
        <f>COUNTIF('Parts Required'!$1:$1500,'Inventory Summary'!T$1&amp;" "&amp;'Inventory Summary'!$A18)</f>
        <v>0</v>
      </c>
      <c r="V18" s="2">
        <f>COUNTIF('MekHQ Inventory Export'!$1:$1499,"Hamd Actuator "&amp;$A18)</f>
        <v>0</v>
      </c>
      <c r="W18" s="2">
        <f>COUNTIF('Parts Required'!$1:$1500,'Inventory Summary'!V$1&amp;" "&amp;'Inventory Summary'!$A18)</f>
        <v>0</v>
      </c>
      <c r="X18" s="2">
        <f>COUNTIF('MekHQ Inventory Export'!$1:$1499,"Upper Leg Actuator "&amp;$A18)</f>
        <v>0</v>
      </c>
      <c r="Y18" s="2">
        <f>COUNTIF('Parts Required'!$1:$1500,'Inventory Summary'!X$1&amp;" "&amp;'Inventory Summary'!$A18)</f>
        <v>0</v>
      </c>
      <c r="Z18" s="2">
        <f>COUNTIF('MekHQ Inventory Export'!$1:$1499,"Lower Leg Actuator"&amp;$A18)</f>
        <v>0</v>
      </c>
      <c r="AA18" s="2">
        <f>COUNTIF('Parts Required'!$1:$1500,'Inventory Summary'!Z$1&amp;" "&amp;'Inventory Summary'!$A18)</f>
        <v>0</v>
      </c>
      <c r="AB18" s="2">
        <f>COUNTIF('MekHQ Inventory Export'!$1:$1499,"Foot Actuator "&amp;$A18)</f>
        <v>0</v>
      </c>
      <c r="AC18" s="2">
        <f>COUNTIF('Parts Required'!$1:$1500,'Inventory Summary'!AB$1&amp;" "&amp;'Inventory Summary'!$A18)</f>
        <v>0</v>
      </c>
    </row>
    <row r="20" spans="1:29" x14ac:dyDescent="0.2">
      <c r="A20" s="1" t="s">
        <v>18</v>
      </c>
      <c r="B20" s="2" t="s">
        <v>148</v>
      </c>
      <c r="C20" s="2" t="s">
        <v>146</v>
      </c>
    </row>
    <row r="21" spans="1:29" x14ac:dyDescent="0.2">
      <c r="A21" s="1" t="s">
        <v>19</v>
      </c>
      <c r="B21" s="2">
        <f>COUNTIF('MekHQ Inventory Export'!$1:$1499,$A21)</f>
        <v>1</v>
      </c>
      <c r="C21" s="2">
        <f>COUNTIF('Equipment Required'!$1:$1500,'Inventory Summary'!A21)</f>
        <v>1</v>
      </c>
    </row>
    <row r="22" spans="1:29" x14ac:dyDescent="0.2">
      <c r="A22" s="1" t="s">
        <v>20</v>
      </c>
      <c r="B22" s="2">
        <f>COUNTIF('MekHQ Inventory Export'!$1:$1499,$A22)</f>
        <v>5</v>
      </c>
      <c r="C22" s="2">
        <f>COUNTIF('Equipment Required'!$1:$1500,'Inventory Summary'!A22)</f>
        <v>8</v>
      </c>
    </row>
    <row r="23" spans="1:29" x14ac:dyDescent="0.2">
      <c r="A23" s="1" t="s">
        <v>21</v>
      </c>
      <c r="B23" s="2">
        <f>COUNTIF('MekHQ Inventory Export'!$1:$1499,$A23)</f>
        <v>2</v>
      </c>
      <c r="C23" s="2">
        <f>COUNTIF('Equipment Required'!$1:$1500,'Inventory Summary'!A23)</f>
        <v>0</v>
      </c>
    </row>
    <row r="24" spans="1:29" x14ac:dyDescent="0.2">
      <c r="A24" s="1" t="s">
        <v>22</v>
      </c>
      <c r="B24" s="2">
        <f>COUNTIF('MekHQ Inventory Export'!$1:$1499,$A24)</f>
        <v>3</v>
      </c>
      <c r="C24" s="2">
        <f>COUNTIF('Equipment Required'!$1:$1500,'Inventory Summary'!A24)</f>
        <v>0</v>
      </c>
    </row>
    <row r="25" spans="1:29" x14ac:dyDescent="0.2">
      <c r="A25" s="1" t="s">
        <v>24</v>
      </c>
      <c r="B25" s="2">
        <f>COUNTIF('MekHQ Inventory Export'!$1:$1499,$A25)</f>
        <v>0</v>
      </c>
      <c r="C25" s="2">
        <f>COUNTIF('Equipment Required'!$1:$1500,'Inventory Summary'!A25)</f>
        <v>0</v>
      </c>
    </row>
    <row r="26" spans="1:29" x14ac:dyDescent="0.2">
      <c r="A26" s="1" t="s">
        <v>25</v>
      </c>
      <c r="B26" s="2">
        <f>COUNTIF('MekHQ Inventory Export'!$1:$1499,$A26)</f>
        <v>0</v>
      </c>
      <c r="C26" s="2">
        <f>COUNTIF('Equipment Required'!$1:$1500,'Inventory Summary'!A26)</f>
        <v>0</v>
      </c>
    </row>
    <row r="27" spans="1:29" x14ac:dyDescent="0.2">
      <c r="A27" s="1" t="s">
        <v>26</v>
      </c>
      <c r="B27" s="2">
        <f>COUNTIF('MekHQ Inventory Export'!$1:$1499,$A27)</f>
        <v>1</v>
      </c>
      <c r="C27" s="2">
        <f>COUNTIF('Equipment Required'!$1:$1500,'Inventory Summary'!A27)</f>
        <v>0</v>
      </c>
    </row>
    <row r="28" spans="1:29" x14ac:dyDescent="0.2">
      <c r="A28" s="1" t="s">
        <v>27</v>
      </c>
      <c r="B28" s="2">
        <f>COUNTIF('MekHQ Inventory Export'!$1:$1499,$A28)</f>
        <v>0</v>
      </c>
      <c r="C28" s="2">
        <f>COUNTIF('Equipment Required'!$1:$1500,'Inventory Summary'!A28)</f>
        <v>0</v>
      </c>
    </row>
    <row r="29" spans="1:29" x14ac:dyDescent="0.2">
      <c r="A29" s="1" t="s">
        <v>28</v>
      </c>
      <c r="B29" s="2">
        <f>COUNTIF('MekHQ Inventory Export'!$1:$1499,$A29)</f>
        <v>0</v>
      </c>
      <c r="C29" s="2">
        <f>COUNTIF('Equipment Required'!$1:$1500,'Inventory Summary'!A29)</f>
        <v>0</v>
      </c>
    </row>
    <row r="30" spans="1:29" x14ac:dyDescent="0.2">
      <c r="A30" s="1" t="s">
        <v>54</v>
      </c>
      <c r="B30" s="2">
        <f>COUNTIF('MekHQ Inventory Export'!$1:$1499,$A30)</f>
        <v>3</v>
      </c>
      <c r="C30" s="2">
        <f>COUNTIF('Equipment Required'!$1:$1500,'Inventory Summary'!A30)</f>
        <v>0</v>
      </c>
    </row>
    <row r="31" spans="1:29" x14ac:dyDescent="0.2">
      <c r="A31" s="1" t="s">
        <v>56</v>
      </c>
      <c r="B31" s="2">
        <f>COUNTIF('MekHQ Inventory Export'!$1:$1499,$A31)</f>
        <v>3</v>
      </c>
      <c r="C31" s="2">
        <f>COUNTIF('Equipment Required'!$1:$1500,'Inventory Summary'!A31)</f>
        <v>0</v>
      </c>
    </row>
    <row r="32" spans="1:29" x14ac:dyDescent="0.2">
      <c r="A32" s="1" t="s">
        <v>61</v>
      </c>
      <c r="B32" s="2">
        <f>COUNTIF('MekHQ Inventory Export'!$1:$1499,$A32)</f>
        <v>3</v>
      </c>
      <c r="C32" s="2">
        <f>COUNTIF('Equipment Required'!$1:$1500,'Inventory Summary'!A32)</f>
        <v>0</v>
      </c>
    </row>
    <row r="33" spans="1:3" x14ac:dyDescent="0.2">
      <c r="A33" s="1" t="s">
        <v>57</v>
      </c>
      <c r="B33" s="2">
        <f>COUNTIF('MekHQ Inventory Export'!$1:$1499,$A33)</f>
        <v>3</v>
      </c>
      <c r="C33" s="2">
        <f>COUNTIF('Equipment Required'!$1:$1500,'Inventory Summary'!A33)</f>
        <v>0</v>
      </c>
    </row>
    <row r="34" spans="1:3" x14ac:dyDescent="0.2">
      <c r="A34" s="1" t="s">
        <v>63</v>
      </c>
      <c r="B34" s="2">
        <f>COUNTIF('MekHQ Inventory Export'!$1:$1499,$A34)</f>
        <v>1</v>
      </c>
      <c r="C34" s="2">
        <f>COUNTIF('Equipment Required'!$1:$1500,'Inventory Summary'!A34)</f>
        <v>0</v>
      </c>
    </row>
    <row r="35" spans="1:3" x14ac:dyDescent="0.2">
      <c r="A35" s="1" t="s">
        <v>145</v>
      </c>
      <c r="B35" s="2">
        <f>COUNTIF('MekHQ Inventory Export'!$1:$1499,$A35)</f>
        <v>0</v>
      </c>
      <c r="C35" s="2">
        <f>COUNTIF('Equipment Required'!$1:$1500,'Inventory Summary'!A35)</f>
        <v>0</v>
      </c>
    </row>
    <row r="36" spans="1:3" x14ac:dyDescent="0.2">
      <c r="A36" s="1" t="s">
        <v>67</v>
      </c>
      <c r="B36" s="2">
        <f>COUNTIF('MekHQ Inventory Export'!$1:$1499,$A36)</f>
        <v>1</v>
      </c>
      <c r="C36" s="2">
        <f>COUNTIF('Equipment Required'!$1:$1500,'Inventory Summary'!A36)</f>
        <v>0</v>
      </c>
    </row>
    <row r="37" spans="1:3" x14ac:dyDescent="0.2">
      <c r="A37" s="1" t="s">
        <v>55</v>
      </c>
      <c r="B37" s="2">
        <f>COUNTIF('MekHQ Inventory Export'!$1:$1499,$A37)</f>
        <v>3</v>
      </c>
      <c r="C37" s="2">
        <f>SUM('Equipment Required'!C:C)</f>
        <v>12</v>
      </c>
    </row>
    <row r="39" spans="1:3" x14ac:dyDescent="0.2">
      <c r="A39" s="1" t="s">
        <v>29</v>
      </c>
      <c r="B39" s="2" t="s">
        <v>148</v>
      </c>
    </row>
    <row r="40" spans="1:3" x14ac:dyDescent="0.2">
      <c r="A40" s="1" t="s">
        <v>81</v>
      </c>
      <c r="B40" s="2">
        <f>COUNTIF('MekHQ Inventory Export'!$1:$1499,$A40)</f>
        <v>0</v>
      </c>
      <c r="C40" s="2">
        <f>COUNTIF('Equipment Required'!$1:$1500,'Inventory Summary'!A40)</f>
        <v>0</v>
      </c>
    </row>
    <row r="41" spans="1:3" x14ac:dyDescent="0.2">
      <c r="A41" s="1" t="s">
        <v>82</v>
      </c>
      <c r="B41" s="2">
        <f>COUNTIF('MekHQ Inventory Export'!$1:$1499,$A41)</f>
        <v>0</v>
      </c>
      <c r="C41" s="2">
        <f>COUNTIF('Equipment Required'!$1:$1500,'Inventory Summary'!A41)</f>
        <v>0</v>
      </c>
    </row>
    <row r="42" spans="1:3" x14ac:dyDescent="0.2">
      <c r="A42" s="1" t="s">
        <v>83</v>
      </c>
      <c r="B42" s="2">
        <f>COUNTIF('MekHQ Inventory Export'!$1:$1499,$A42)</f>
        <v>0</v>
      </c>
      <c r="C42" s="2">
        <f>COUNTIF('Equipment Required'!$1:$1500,'Inventory Summary'!A42)</f>
        <v>0</v>
      </c>
    </row>
    <row r="43" spans="1:3" x14ac:dyDescent="0.2">
      <c r="A43" s="1" t="s">
        <v>84</v>
      </c>
      <c r="B43" s="2">
        <f>COUNTIF('MekHQ Inventory Export'!$1:$1499,$A43)</f>
        <v>0</v>
      </c>
      <c r="C43" s="2">
        <f>COUNTIF('Equipment Required'!$1:$1500,'Inventory Summary'!A43)</f>
        <v>0</v>
      </c>
    </row>
    <row r="44" spans="1:3" x14ac:dyDescent="0.2">
      <c r="A44" s="1" t="s">
        <v>85</v>
      </c>
      <c r="B44" s="2">
        <f>COUNTIF('MekHQ Inventory Export'!$1:$1499,$A44)</f>
        <v>0</v>
      </c>
      <c r="C44" s="2">
        <f>COUNTIF('Equipment Required'!$1:$1500,'Inventory Summary'!A44)</f>
        <v>0</v>
      </c>
    </row>
    <row r="45" spans="1:3" x14ac:dyDescent="0.2">
      <c r="A45" s="1" t="s">
        <v>86</v>
      </c>
      <c r="B45" s="2">
        <f>COUNTIF('MekHQ Inventory Export'!$1:$1499,$A45)</f>
        <v>0</v>
      </c>
      <c r="C45" s="2">
        <f>COUNTIF('Equipment Required'!$1:$1500,'Inventory Summary'!A45)</f>
        <v>0</v>
      </c>
    </row>
    <row r="46" spans="1:3" x14ac:dyDescent="0.2">
      <c r="A46" s="1" t="s">
        <v>87</v>
      </c>
      <c r="B46" s="2">
        <f>COUNTIF('MekHQ Inventory Export'!$1:$1499,$A46)</f>
        <v>0</v>
      </c>
      <c r="C46" s="2">
        <f>COUNTIF('Equipment Required'!$1:$1500,'Inventory Summary'!A46)</f>
        <v>0</v>
      </c>
    </row>
    <row r="47" spans="1:3" x14ac:dyDescent="0.2">
      <c r="A47" s="1" t="s">
        <v>88</v>
      </c>
      <c r="B47" s="2">
        <f>COUNTIF('MekHQ Inventory Export'!$1:$1499,$A47)</f>
        <v>0</v>
      </c>
      <c r="C47" s="2">
        <f>COUNTIF('Equipment Required'!$1:$1500,'Inventory Summary'!A47)</f>
        <v>0</v>
      </c>
    </row>
    <row r="48" spans="1:3" x14ac:dyDescent="0.2">
      <c r="A48" s="1" t="s">
        <v>89</v>
      </c>
      <c r="B48" s="2">
        <f>COUNTIF('MekHQ Inventory Export'!$1:$1499,$A48)</f>
        <v>0</v>
      </c>
      <c r="C48" s="2">
        <f>COUNTIF('Equipment Required'!$1:$1500,'Inventory Summary'!A48)</f>
        <v>0</v>
      </c>
    </row>
    <row r="49" spans="1:3" x14ac:dyDescent="0.2">
      <c r="A49" s="1" t="s">
        <v>90</v>
      </c>
      <c r="B49" s="2">
        <f>COUNTIF('MekHQ Inventory Export'!$1:$1499,$A49)</f>
        <v>0</v>
      </c>
      <c r="C49" s="2">
        <f>COUNTIF('Equipment Required'!$1:$1500,'Inventory Summary'!A49)</f>
        <v>0</v>
      </c>
    </row>
    <row r="50" spans="1:3" x14ac:dyDescent="0.2">
      <c r="A50" s="1" t="s">
        <v>91</v>
      </c>
      <c r="B50" s="2">
        <f>COUNTIF('MekHQ Inventory Export'!$1:$1499,$A50)</f>
        <v>0</v>
      </c>
      <c r="C50" s="2">
        <f>COUNTIF('Equipment Required'!$1:$1500,'Inventory Summary'!A50)</f>
        <v>0</v>
      </c>
    </row>
    <row r="51" spans="1:3" x14ac:dyDescent="0.2">
      <c r="A51" s="1" t="s">
        <v>92</v>
      </c>
      <c r="B51" s="2">
        <f>COUNTIF('MekHQ Inventory Export'!$1:$1499,$A51)</f>
        <v>0</v>
      </c>
      <c r="C51" s="2">
        <f>COUNTIF('Equipment Required'!$1:$1500,'Inventory Summary'!A51)</f>
        <v>0</v>
      </c>
    </row>
    <row r="52" spans="1:3" x14ac:dyDescent="0.2">
      <c r="A52" s="1" t="s">
        <v>93</v>
      </c>
      <c r="B52" s="2">
        <f>COUNTIF('MekHQ Inventory Export'!$1:$1499,$A52)</f>
        <v>0</v>
      </c>
      <c r="C52" s="2">
        <f>COUNTIF('Equipment Required'!$1:$1500,'Inventory Summary'!A52)</f>
        <v>0</v>
      </c>
    </row>
    <row r="53" spans="1:3" x14ac:dyDescent="0.2">
      <c r="A53" s="1" t="s">
        <v>94</v>
      </c>
      <c r="B53" s="2">
        <f>COUNTIF('MekHQ Inventory Export'!$1:$1499,$A53)</f>
        <v>0</v>
      </c>
      <c r="C53" s="2">
        <f>COUNTIF('Equipment Required'!$1:$1500,'Inventory Summary'!A53)</f>
        <v>0</v>
      </c>
    </row>
    <row r="54" spans="1:3" x14ac:dyDescent="0.2">
      <c r="A54" s="1" t="s">
        <v>95</v>
      </c>
      <c r="B54" s="2">
        <f>COUNTIF('MekHQ Inventory Export'!$1:$1499,$A54)</f>
        <v>0</v>
      </c>
      <c r="C54" s="2">
        <f>COUNTIF('Equipment Required'!$1:$1500,'Inventory Summary'!A54)</f>
        <v>0</v>
      </c>
    </row>
    <row r="55" spans="1:3" x14ac:dyDescent="0.2">
      <c r="A55" s="1" t="s">
        <v>96</v>
      </c>
      <c r="B55" s="2">
        <f>COUNTIF('MekHQ Inventory Export'!$1:$1499,$A55)</f>
        <v>0</v>
      </c>
      <c r="C55" s="2">
        <f>COUNTIF('Equipment Required'!$1:$1500,'Inventory Summary'!A55)</f>
        <v>0</v>
      </c>
    </row>
    <row r="56" spans="1:3" x14ac:dyDescent="0.2">
      <c r="A56" s="1" t="s">
        <v>64</v>
      </c>
      <c r="B56" s="2">
        <f>COUNTIF('MekHQ Inventory Export'!$1:$1499,$A56)</f>
        <v>1</v>
      </c>
      <c r="C56" s="2">
        <f>COUNTIF('Equipment Required'!$1:$1500,'Inventory Summary'!A56)</f>
        <v>0</v>
      </c>
    </row>
    <row r="57" spans="1:3" x14ac:dyDescent="0.2">
      <c r="A57" s="1" t="s">
        <v>97</v>
      </c>
      <c r="B57" s="2">
        <f>COUNTIF('MekHQ Inventory Export'!$1:$1499,$A57)</f>
        <v>0</v>
      </c>
      <c r="C57" s="2">
        <f>COUNTIF('Equipment Required'!$1:$1500,'Inventory Summary'!A57)</f>
        <v>0</v>
      </c>
    </row>
    <row r="58" spans="1:3" x14ac:dyDescent="0.2">
      <c r="A58" s="1" t="s">
        <v>98</v>
      </c>
      <c r="B58" s="2">
        <f>COUNTIF('MekHQ Inventory Export'!$1:$1499,$A58)</f>
        <v>0</v>
      </c>
      <c r="C58" s="2">
        <f>COUNTIF('Equipment Required'!$1:$1500,'Inventory Summary'!A58)</f>
        <v>0</v>
      </c>
    </row>
    <row r="59" spans="1:3" x14ac:dyDescent="0.2">
      <c r="A59" s="1" t="s">
        <v>99</v>
      </c>
      <c r="B59" s="2">
        <f>COUNTIF('MekHQ Inventory Export'!$1:$1499,$A59)</f>
        <v>0</v>
      </c>
      <c r="C59" s="2">
        <f>COUNTIF('Equipment Required'!$1:$1500,'Inventory Summary'!A59)</f>
        <v>0</v>
      </c>
    </row>
    <row r="60" spans="1:3" x14ac:dyDescent="0.2">
      <c r="A60" s="1" t="s">
        <v>100</v>
      </c>
      <c r="B60" s="2">
        <f>COUNTIF('MekHQ Inventory Export'!$1:$1499,$A60)</f>
        <v>0</v>
      </c>
      <c r="C60" s="2">
        <f>COUNTIF('Equipment Required'!$1:$1500,'Inventory Summary'!A60)</f>
        <v>1</v>
      </c>
    </row>
    <row r="61" spans="1:3" x14ac:dyDescent="0.2">
      <c r="A61" s="1" t="s">
        <v>101</v>
      </c>
      <c r="B61" s="2">
        <f>COUNTIF('MekHQ Inventory Export'!$1:$1499,$A61)</f>
        <v>0</v>
      </c>
      <c r="C61" s="2">
        <f>COUNTIF('Equipment Required'!$1:$1500,'Inventory Summary'!A61)</f>
        <v>0</v>
      </c>
    </row>
    <row r="62" spans="1:3" x14ac:dyDescent="0.2">
      <c r="A62" s="1" t="s">
        <v>102</v>
      </c>
      <c r="B62" s="2">
        <f>COUNTIF('MekHQ Inventory Export'!$1:$1499,$A62)</f>
        <v>0</v>
      </c>
      <c r="C62" s="2">
        <f>COUNTIF('Equipment Required'!$1:$1500,'Inventory Summary'!A62)</f>
        <v>0</v>
      </c>
    </row>
    <row r="63" spans="1:3" x14ac:dyDescent="0.2">
      <c r="A63" s="1" t="s">
        <v>103</v>
      </c>
      <c r="B63" s="2">
        <f>COUNTIF('MekHQ Inventory Export'!$1:$1499,$A63)</f>
        <v>0</v>
      </c>
      <c r="C63" s="2">
        <f>COUNTIF('Equipment Required'!$1:$1500,'Inventory Summary'!A63)</f>
        <v>0</v>
      </c>
    </row>
    <row r="64" spans="1:3" x14ac:dyDescent="0.2">
      <c r="A64" s="1" t="s">
        <v>104</v>
      </c>
      <c r="B64" s="2">
        <f>COUNTIF('MekHQ Inventory Export'!$1:$1499,$A64)</f>
        <v>0</v>
      </c>
      <c r="C64" s="2">
        <f>COUNTIF('Equipment Required'!$1:$1500,'Inventory Summary'!A64)</f>
        <v>0</v>
      </c>
    </row>
    <row r="65" spans="1:3" x14ac:dyDescent="0.2">
      <c r="A65" s="1" t="s">
        <v>105</v>
      </c>
      <c r="B65" s="2">
        <f>COUNTIF('MekHQ Inventory Export'!$1:$1499,$A65)</f>
        <v>0</v>
      </c>
      <c r="C65" s="2">
        <f>COUNTIF('Equipment Required'!$1:$1500,'Inventory Summary'!A65)</f>
        <v>0</v>
      </c>
    </row>
    <row r="66" spans="1:3" x14ac:dyDescent="0.2">
      <c r="A66" s="1" t="s">
        <v>106</v>
      </c>
      <c r="B66" s="2">
        <f>COUNTIF('MekHQ Inventory Export'!$1:$1499,$A66)</f>
        <v>0</v>
      </c>
      <c r="C66" s="2">
        <f>COUNTIF('Equipment Required'!$1:$1500,'Inventory Summary'!A66)</f>
        <v>0</v>
      </c>
    </row>
    <row r="67" spans="1:3" x14ac:dyDescent="0.2">
      <c r="A67" s="1" t="s">
        <v>107</v>
      </c>
      <c r="B67" s="2">
        <f>COUNTIF('MekHQ Inventory Export'!$1:$1499,$A67)</f>
        <v>0</v>
      </c>
      <c r="C67" s="2">
        <f>COUNTIF('Equipment Required'!$1:$1500,'Inventory Summary'!A67)</f>
        <v>0</v>
      </c>
    </row>
    <row r="68" spans="1:3" x14ac:dyDescent="0.2">
      <c r="A68" s="1" t="s">
        <v>108</v>
      </c>
      <c r="B68" s="2">
        <f>COUNTIF('MekHQ Inventory Export'!$1:$1499,$A68)</f>
        <v>0</v>
      </c>
      <c r="C68" s="2">
        <f>COUNTIF('Equipment Required'!$1:$1500,'Inventory Summary'!A68)</f>
        <v>0</v>
      </c>
    </row>
    <row r="69" spans="1:3" x14ac:dyDescent="0.2">
      <c r="A69" s="1" t="s">
        <v>109</v>
      </c>
      <c r="B69" s="2">
        <f>COUNTIF('MekHQ Inventory Export'!$1:$1499,$A69)</f>
        <v>0</v>
      </c>
      <c r="C69" s="2">
        <f>COUNTIF('Equipment Required'!$1:$1500,'Inventory Summary'!A69)</f>
        <v>0</v>
      </c>
    </row>
    <row r="70" spans="1:3" x14ac:dyDescent="0.2">
      <c r="A70" s="1" t="s">
        <v>110</v>
      </c>
      <c r="B70" s="2">
        <f>COUNTIF('MekHQ Inventory Export'!$1:$1499,$A70)</f>
        <v>0</v>
      </c>
      <c r="C70" s="2">
        <f>COUNTIF('Equipment Required'!$1:$1500,'Inventory Summary'!A70)</f>
        <v>0</v>
      </c>
    </row>
    <row r="71" spans="1:3" x14ac:dyDescent="0.2">
      <c r="A71" s="1" t="s">
        <v>111</v>
      </c>
      <c r="B71" s="2">
        <f>COUNTIF('MekHQ Inventory Export'!$1:$1499,$A71)</f>
        <v>0</v>
      </c>
      <c r="C71" s="2">
        <f>COUNTIF('Equipment Required'!$1:$1500,'Inventory Summary'!A71)</f>
        <v>0</v>
      </c>
    </row>
    <row r="72" spans="1:3" x14ac:dyDescent="0.2">
      <c r="A72" s="1" t="s">
        <v>112</v>
      </c>
      <c r="B72" s="2">
        <f>COUNTIF('MekHQ Inventory Export'!$1:$1499,$A72)</f>
        <v>0</v>
      </c>
      <c r="C72" s="2">
        <f>COUNTIF('Equipment Required'!$1:$1500,'Inventory Summary'!A72)</f>
        <v>0</v>
      </c>
    </row>
    <row r="73" spans="1:3" x14ac:dyDescent="0.2">
      <c r="A73" s="1" t="s">
        <v>113</v>
      </c>
      <c r="B73" s="2">
        <f>COUNTIF('MekHQ Inventory Export'!$1:$1499,$A73)</f>
        <v>0</v>
      </c>
      <c r="C73" s="2">
        <f>COUNTIF('Equipment Required'!$1:$1500,'Inventory Summary'!A73)</f>
        <v>0</v>
      </c>
    </row>
    <row r="74" spans="1:3" x14ac:dyDescent="0.2">
      <c r="A74" s="1" t="s">
        <v>114</v>
      </c>
      <c r="B74" s="2">
        <f>COUNTIF('MekHQ Inventory Export'!$1:$1499,$A74)</f>
        <v>0</v>
      </c>
      <c r="C74" s="2">
        <f>COUNTIF('Equipment Required'!$1:$1500,'Inventory Summary'!A74)</f>
        <v>0</v>
      </c>
    </row>
    <row r="75" spans="1:3" x14ac:dyDescent="0.2">
      <c r="A75" s="1" t="s">
        <v>115</v>
      </c>
      <c r="B75" s="2">
        <f>COUNTIF('MekHQ Inventory Export'!$1:$1499,$A75)</f>
        <v>0</v>
      </c>
      <c r="C75" s="2">
        <f>COUNTIF('Equipment Required'!$1:$1500,'Inventory Summary'!A75)</f>
        <v>0</v>
      </c>
    </row>
    <row r="76" spans="1:3" x14ac:dyDescent="0.2">
      <c r="A76" s="1" t="s">
        <v>116</v>
      </c>
      <c r="B76" s="2">
        <f>COUNTIF('MekHQ Inventory Export'!$1:$1499,$A76)</f>
        <v>0</v>
      </c>
      <c r="C76" s="2">
        <f>COUNTIF('Equipment Required'!$1:$1500,'Inventory Summary'!A76)</f>
        <v>0</v>
      </c>
    </row>
    <row r="77" spans="1:3" x14ac:dyDescent="0.2">
      <c r="A77" s="1" t="s">
        <v>117</v>
      </c>
      <c r="B77" s="2">
        <f>COUNTIF('MekHQ Inventory Export'!$1:$1499,$A77)</f>
        <v>0</v>
      </c>
      <c r="C77" s="2">
        <f>COUNTIF('Equipment Required'!$1:$1500,'Inventory Summary'!A77)</f>
        <v>0</v>
      </c>
    </row>
    <row r="78" spans="1:3" x14ac:dyDescent="0.2">
      <c r="A78" s="1" t="s">
        <v>118</v>
      </c>
      <c r="B78" s="2">
        <f>COUNTIF('MekHQ Inventory Export'!$1:$1499,$A78)</f>
        <v>0</v>
      </c>
      <c r="C78" s="2">
        <f>COUNTIF('Equipment Required'!$1:$1500,'Inventory Summary'!A78)</f>
        <v>0</v>
      </c>
    </row>
    <row r="79" spans="1:3" x14ac:dyDescent="0.2">
      <c r="A79" s="1" t="s">
        <v>119</v>
      </c>
      <c r="B79" s="2">
        <f>COUNTIF('MekHQ Inventory Export'!$1:$1499,$A79)</f>
        <v>0</v>
      </c>
      <c r="C79" s="2">
        <f>COUNTIF('Equipment Required'!$1:$1500,'Inventory Summary'!A79)</f>
        <v>0</v>
      </c>
    </row>
    <row r="80" spans="1:3" x14ac:dyDescent="0.2">
      <c r="A80" s="1" t="s">
        <v>120</v>
      </c>
      <c r="B80" s="2">
        <f>COUNTIF('MekHQ Inventory Export'!$1:$1499,$A80)</f>
        <v>0</v>
      </c>
      <c r="C80" s="2">
        <f>COUNTIF('Equipment Required'!$1:$1500,'Inventory Summary'!A80)</f>
        <v>0</v>
      </c>
    </row>
    <row r="81" spans="1:3" x14ac:dyDescent="0.2">
      <c r="A81" s="1" t="s">
        <v>121</v>
      </c>
      <c r="B81" s="2">
        <f>COUNTIF('MekHQ Inventory Export'!$1:$1499,$A81)</f>
        <v>0</v>
      </c>
      <c r="C81" s="2">
        <f>COUNTIF('Equipment Required'!$1:$1500,'Inventory Summary'!A81)</f>
        <v>0</v>
      </c>
    </row>
    <row r="82" spans="1:3" x14ac:dyDescent="0.2">
      <c r="A82" s="1" t="s">
        <v>122</v>
      </c>
      <c r="B82" s="2">
        <f>COUNTIF('MekHQ Inventory Export'!$1:$1499,$A82)</f>
        <v>0</v>
      </c>
      <c r="C82" s="2">
        <f>COUNTIF('Equipment Required'!$1:$1500,'Inventory Summary'!A82)</f>
        <v>0</v>
      </c>
    </row>
    <row r="83" spans="1:3" x14ac:dyDescent="0.2">
      <c r="A83" s="1" t="s">
        <v>123</v>
      </c>
      <c r="B83" s="2">
        <f>COUNTIF('MekHQ Inventory Export'!$1:$1499,$A83)</f>
        <v>0</v>
      </c>
      <c r="C83" s="2">
        <f>COUNTIF('Equipment Required'!$1:$1500,'Inventory Summary'!A83)</f>
        <v>0</v>
      </c>
    </row>
    <row r="84" spans="1:3" x14ac:dyDescent="0.2">
      <c r="A84" s="1" t="s">
        <v>124</v>
      </c>
      <c r="B84" s="2">
        <f>COUNTIF('MekHQ Inventory Export'!$1:$1499,$A84)</f>
        <v>0</v>
      </c>
      <c r="C84" s="2">
        <f>COUNTIF('Equipment Required'!$1:$1500,'Inventory Summary'!A84)</f>
        <v>0</v>
      </c>
    </row>
    <row r="85" spans="1:3" x14ac:dyDescent="0.2">
      <c r="A85" s="1" t="s">
        <v>125</v>
      </c>
      <c r="B85" s="2">
        <f>COUNTIF('MekHQ Inventory Export'!$1:$1499,$A85)</f>
        <v>0</v>
      </c>
      <c r="C85" s="2">
        <f>COUNTIF('Equipment Required'!$1:$1500,'Inventory Summary'!A85)</f>
        <v>0</v>
      </c>
    </row>
    <row r="86" spans="1:3" x14ac:dyDescent="0.2">
      <c r="A86" s="1" t="s">
        <v>126</v>
      </c>
      <c r="B86" s="2">
        <f>COUNTIF('MekHQ Inventory Export'!$1:$1499,$A86)</f>
        <v>0</v>
      </c>
      <c r="C86" s="2">
        <f>COUNTIF('Equipment Required'!$1:$1500,'Inventory Summary'!A86)</f>
        <v>0</v>
      </c>
    </row>
    <row r="87" spans="1:3" x14ac:dyDescent="0.2">
      <c r="A87" s="1" t="s">
        <v>127</v>
      </c>
      <c r="B87" s="2">
        <f>COUNTIF('MekHQ Inventory Export'!$1:$1499,$A87)</f>
        <v>0</v>
      </c>
      <c r="C87" s="2">
        <f>COUNTIF('Equipment Required'!$1:$1500,'Inventory Summary'!A87)</f>
        <v>0</v>
      </c>
    </row>
    <row r="88" spans="1:3" x14ac:dyDescent="0.2">
      <c r="A88" s="1" t="s">
        <v>128</v>
      </c>
      <c r="B88" s="2">
        <f>COUNTIF('MekHQ Inventory Export'!$1:$1499,$A88)</f>
        <v>0</v>
      </c>
      <c r="C88" s="2">
        <f>COUNTIF('Equipment Required'!$1:$1500,'Inventory Summary'!A88)</f>
        <v>0</v>
      </c>
    </row>
    <row r="89" spans="1:3" x14ac:dyDescent="0.2">
      <c r="A89" s="1" t="s">
        <v>129</v>
      </c>
      <c r="B89" s="2">
        <f>COUNTIF('MekHQ Inventory Export'!$1:$1499,$A89)</f>
        <v>0</v>
      </c>
      <c r="C89" s="2">
        <f>COUNTIF('Equipment Required'!$1:$1500,'Inventory Summary'!A89)</f>
        <v>0</v>
      </c>
    </row>
    <row r="90" spans="1:3" x14ac:dyDescent="0.2">
      <c r="A90" s="1" t="s">
        <v>130</v>
      </c>
      <c r="B90" s="2">
        <f>COUNTIF('MekHQ Inventory Export'!$1:$1499,$A90)</f>
        <v>0</v>
      </c>
      <c r="C90" s="2">
        <f>COUNTIF('Equipment Required'!$1:$1500,'Inventory Summary'!A90)</f>
        <v>0</v>
      </c>
    </row>
    <row r="91" spans="1:3" x14ac:dyDescent="0.2">
      <c r="A91" s="1" t="s">
        <v>131</v>
      </c>
      <c r="B91" s="2">
        <f>COUNTIF('MekHQ Inventory Export'!$1:$1499,$A91)</f>
        <v>0</v>
      </c>
      <c r="C91" s="2">
        <f>COUNTIF('Equipment Required'!$1:$1500,'Inventory Summary'!A91)</f>
        <v>0</v>
      </c>
    </row>
    <row r="92" spans="1:3" x14ac:dyDescent="0.2">
      <c r="A92" s="1" t="s">
        <v>132</v>
      </c>
      <c r="B92" s="2">
        <f>COUNTIF('MekHQ Inventory Export'!$1:$1499,$A92)</f>
        <v>0</v>
      </c>
      <c r="C92" s="2">
        <f>COUNTIF('Equipment Required'!$1:$1500,'Inventory Summary'!A92)</f>
        <v>0</v>
      </c>
    </row>
    <row r="93" spans="1:3" x14ac:dyDescent="0.2">
      <c r="A93" s="1" t="s">
        <v>133</v>
      </c>
      <c r="B93" s="2">
        <f>COUNTIF('MekHQ Inventory Export'!$1:$1499,$A93)</f>
        <v>0</v>
      </c>
      <c r="C93" s="2">
        <f>COUNTIF('Equipment Required'!$1:$1500,'Inventory Summary'!A93)</f>
        <v>0</v>
      </c>
    </row>
    <row r="94" spans="1:3" x14ac:dyDescent="0.2">
      <c r="A94" s="1" t="s">
        <v>134</v>
      </c>
      <c r="B94" s="2">
        <f>COUNTIF('MekHQ Inventory Export'!$1:$1499,$A94)</f>
        <v>0</v>
      </c>
      <c r="C94" s="2">
        <f>COUNTIF('Equipment Required'!$1:$1500,'Inventory Summary'!A94)</f>
        <v>0</v>
      </c>
    </row>
    <row r="95" spans="1:3" x14ac:dyDescent="0.2">
      <c r="A95" s="1" t="s">
        <v>135</v>
      </c>
      <c r="B95" s="2">
        <f>COUNTIF('MekHQ Inventory Export'!$1:$1499,$A95)</f>
        <v>0</v>
      </c>
      <c r="C95" s="2">
        <f>COUNTIF('Equipment Required'!$1:$1500,'Inventory Summary'!A95)</f>
        <v>0</v>
      </c>
    </row>
    <row r="96" spans="1:3" x14ac:dyDescent="0.2">
      <c r="A96" s="1" t="s">
        <v>136</v>
      </c>
      <c r="B96" s="2">
        <f>COUNTIF('MekHQ Inventory Export'!$1:$1499,$A96)</f>
        <v>0</v>
      </c>
      <c r="C96" s="2">
        <f>COUNTIF('Equipment Required'!$1:$1500,'Inventory Summary'!A96)</f>
        <v>0</v>
      </c>
    </row>
    <row r="97" spans="1:3" x14ac:dyDescent="0.2">
      <c r="A97" s="1" t="s">
        <v>137</v>
      </c>
      <c r="B97" s="2">
        <f>COUNTIF('MekHQ Inventory Export'!$1:$1499,$A97)</f>
        <v>0</v>
      </c>
      <c r="C97" s="2">
        <f>COUNTIF('Equipment Required'!$1:$1500,'Inventory Summary'!A97)</f>
        <v>0</v>
      </c>
    </row>
    <row r="98" spans="1:3" x14ac:dyDescent="0.2">
      <c r="A98" s="1" t="s">
        <v>138</v>
      </c>
      <c r="B98" s="2">
        <f>COUNTIF('MekHQ Inventory Export'!$1:$1499,$A98)</f>
        <v>0</v>
      </c>
      <c r="C98" s="2">
        <f>COUNTIF('Equipment Required'!$1:$1500,'Inventory Summary'!A98)</f>
        <v>0</v>
      </c>
    </row>
    <row r="99" spans="1:3" x14ac:dyDescent="0.2">
      <c r="A99" s="1" t="s">
        <v>139</v>
      </c>
      <c r="B99" s="2">
        <f>COUNTIF('MekHQ Inventory Export'!$1:$1499,$A99)</f>
        <v>0</v>
      </c>
      <c r="C99" s="2">
        <f>COUNTIF('Equipment Required'!$1:$1500,'Inventory Summary'!A99)</f>
        <v>0</v>
      </c>
    </row>
    <row r="100" spans="1:3" x14ac:dyDescent="0.2">
      <c r="A100" s="1" t="s">
        <v>140</v>
      </c>
      <c r="B100" s="2">
        <f>COUNTIF('MekHQ Inventory Export'!$1:$1499,$A100)</f>
        <v>0</v>
      </c>
      <c r="C100" s="2">
        <f>COUNTIF('Equipment Required'!$1:$1500,'Inventory Summary'!A100)</f>
        <v>0</v>
      </c>
    </row>
  </sheetData>
  <conditionalFormatting sqref="B21:B3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0:B10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8 D2:D18 F2:F18 H2:H18 J2:J18 L2:L18 N2:N18 P2:P18 R2:R18 T2:T18 V2:V18 X2:X18 Z2:Z18 AB2:AB18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AC1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30711-61E6-FF49-BC16-1E81A1880DE6}">
  <dimension ref="A1:P57"/>
  <sheetViews>
    <sheetView workbookViewId="0">
      <selection activeCell="G4" sqref="G4"/>
    </sheetView>
  </sheetViews>
  <sheetFormatPr baseColWidth="10" defaultRowHeight="49" customHeight="1" x14ac:dyDescent="0.2"/>
  <cols>
    <col min="1" max="1" width="32.33203125" style="11" customWidth="1"/>
    <col min="2" max="2" width="21.5" style="10" customWidth="1"/>
    <col min="3" max="3" width="10.83203125" style="10"/>
    <col min="4" max="16" width="13.1640625" style="10" customWidth="1"/>
  </cols>
  <sheetData>
    <row r="1" spans="1:16" ht="98" customHeight="1" x14ac:dyDescent="0.2">
      <c r="A1" s="12" t="s">
        <v>141</v>
      </c>
      <c r="B1" s="12" t="s">
        <v>150</v>
      </c>
      <c r="C1" s="12" t="s">
        <v>0</v>
      </c>
      <c r="D1" s="12" t="s">
        <v>43</v>
      </c>
      <c r="E1" s="12" t="s">
        <v>48</v>
      </c>
      <c r="F1" s="12" t="s">
        <v>49</v>
      </c>
      <c r="G1" s="12" t="s">
        <v>46</v>
      </c>
      <c r="H1" s="12" t="s">
        <v>47</v>
      </c>
      <c r="I1" s="12" t="s">
        <v>80</v>
      </c>
      <c r="J1" s="12" t="s">
        <v>37</v>
      </c>
      <c r="K1" s="12" t="s">
        <v>32</v>
      </c>
      <c r="L1" s="12" t="s">
        <v>33</v>
      </c>
      <c r="M1" s="12" t="s">
        <v>34</v>
      </c>
      <c r="N1" s="12" t="s">
        <v>142</v>
      </c>
      <c r="O1" s="12" t="s">
        <v>143</v>
      </c>
      <c r="P1" s="12" t="s">
        <v>36</v>
      </c>
    </row>
    <row r="2" spans="1:16" ht="49" customHeight="1" x14ac:dyDescent="0.2">
      <c r="A2" s="11" t="str">
        <f>IF(TOE!A2="","",TOE!A2)</f>
        <v>Lightning LTN-G15</v>
      </c>
      <c r="B2" s="10" t="str">
        <f>IF(TOE!B2="","",TOE!B2)</f>
        <v>Aerospace Fighter</v>
      </c>
      <c r="C2" s="10">
        <f>IF(TOE!E2="","",TOE!E2)</f>
        <v>50</v>
      </c>
      <c r="D2" s="11" t="str">
        <f>IF(TOE!$B2="Mek",IF($A2="","",D$1&amp;" "&amp;$C2&amp;" tons"),"")</f>
        <v/>
      </c>
      <c r="E2" s="11" t="str">
        <f>IF(TOE!$B2="Mek",IF($A2="","",E$1&amp;" "&amp;$C2&amp;" tons"),"")</f>
        <v/>
      </c>
      <c r="F2" s="11" t="str">
        <f>IF(TOE!$B2="Mek",IF($A2="","",F$1&amp;" "&amp;$C2&amp;" tons"),"")</f>
        <v/>
      </c>
      <c r="G2" s="11" t="str">
        <f>IF(TOE!$B2="Mek",IF($A2="","",G$1&amp;" "&amp;$C2&amp;" tons"),"")</f>
        <v/>
      </c>
      <c r="H2" s="11" t="str">
        <f>IF(TOE!$B2="Mek",IF($A2="","",H$1&amp;" "&amp;$C2&amp;" tons"),"")</f>
        <v/>
      </c>
      <c r="I2" s="11" t="str">
        <f>IF(TOE!$B2="Mek",IF($A2="","",I$1&amp;" "&amp;$C2&amp;" tons"),"")</f>
        <v/>
      </c>
      <c r="J2" s="11" t="str">
        <f>IF(TOE!$B2="Mek",IF($A2="","",J$1&amp;" "&amp;$C2&amp;" tons"),"")</f>
        <v/>
      </c>
      <c r="K2" s="11" t="str">
        <f>IF(TOE!$B2="Mek",IF($A2="","",K$1&amp;" "&amp;$C2&amp;" tons"),"")</f>
        <v/>
      </c>
      <c r="L2" s="11" t="str">
        <f>IF(TOE!$B2="Mek",IF($A2="","",L$1&amp;" "&amp;$C2&amp;" tons"),"")</f>
        <v/>
      </c>
      <c r="M2" s="11" t="str">
        <f>IF(TOE!$B2="Mek",IF($A2="","",M$1&amp;" "&amp;$C2&amp;" tons"),"")</f>
        <v/>
      </c>
      <c r="N2" s="11" t="str">
        <f>IF(TOE!$B2="Mek",IF($A2="","",N$1&amp;" "&amp;$C2&amp;" tons"),"")</f>
        <v/>
      </c>
      <c r="O2" s="11" t="str">
        <f>IF(TOE!$B2="Mek",IF($A2="","",O$1&amp;" "&amp;$C2&amp;" tons"),"")</f>
        <v/>
      </c>
      <c r="P2" s="11" t="str">
        <f>IF(TOE!$B2="Mek",IF($A2="","",P$1&amp;" "&amp;$C2&amp;" tons"),"")</f>
        <v/>
      </c>
    </row>
    <row r="3" spans="1:16" ht="49" customHeight="1" x14ac:dyDescent="0.2">
      <c r="A3" s="11" t="str">
        <f>IF(TOE!A3="","",TOE!A3)</f>
        <v>Stingray F-90</v>
      </c>
      <c r="B3" s="10" t="str">
        <f>IF(TOE!B3="","",TOE!B3)</f>
        <v>Aerospace Fighter</v>
      </c>
      <c r="C3" s="10">
        <f>IF(TOE!E3="","",TOE!E3)</f>
        <v>60</v>
      </c>
      <c r="D3" s="11" t="str">
        <f>IF(TOE!$B3="Mek",IF($A3="","",D$1&amp;" "&amp;$C3&amp;" tons"),"")</f>
        <v/>
      </c>
      <c r="E3" s="11" t="str">
        <f>IF(TOE!$B3="Mek",IF($A3="","",E$1&amp;" "&amp;$C3&amp;" tons"),"")</f>
        <v/>
      </c>
      <c r="F3" s="11" t="str">
        <f>IF(TOE!$B3="Mek",IF($A3="","",F$1&amp;" "&amp;$C3&amp;" tons"),"")</f>
        <v/>
      </c>
      <c r="G3" s="11" t="str">
        <f>IF(TOE!$B3="Mek",IF($A3="","",G$1&amp;" "&amp;$C3&amp;" tons"),"")</f>
        <v/>
      </c>
      <c r="H3" s="11" t="str">
        <f>IF(TOE!$B3="Mek",IF($A3="","",H$1&amp;" "&amp;$C3&amp;" tons"),"")</f>
        <v/>
      </c>
      <c r="I3" s="11" t="str">
        <f>IF(TOE!$B3="Mek",IF($A3="","",I$1&amp;" "&amp;$C3&amp;" tons"),"")</f>
        <v/>
      </c>
      <c r="J3" s="11" t="str">
        <f>IF(TOE!$B3="Mek",IF($A3="","",J$1&amp;" "&amp;$C3&amp;" tons"),"")</f>
        <v/>
      </c>
      <c r="K3" s="11" t="str">
        <f>IF(TOE!$B3="Mek",IF($A3="","",K$1&amp;" "&amp;$C3&amp;" tons"),"")</f>
        <v/>
      </c>
      <c r="L3" s="11" t="str">
        <f>IF(TOE!$B3="Mek",IF($A3="","",L$1&amp;" "&amp;$C3&amp;" tons"),"")</f>
        <v/>
      </c>
      <c r="M3" s="11" t="str">
        <f>IF(TOE!$B3="Mek",IF($A3="","",M$1&amp;" "&amp;$C3&amp;" tons"),"")</f>
        <v/>
      </c>
      <c r="N3" s="11" t="str">
        <f>IF(TOE!$B3="Mek",IF($A3="","",N$1&amp;" "&amp;$C3&amp;" tons"),"")</f>
        <v/>
      </c>
      <c r="O3" s="11" t="str">
        <f>IF(TOE!$B3="Mek",IF($A3="","",O$1&amp;" "&amp;$C3&amp;" tons"),"")</f>
        <v/>
      </c>
      <c r="P3" s="11" t="str">
        <f>IF(TOE!$B3="Mek",IF($A3="","",P$1&amp;" "&amp;$C3&amp;" tons"),"")</f>
        <v/>
      </c>
    </row>
    <row r="4" spans="1:16" ht="49" customHeight="1" x14ac:dyDescent="0.2">
      <c r="A4" s="11" t="str">
        <f>IF(TOE!A4="","",TOE!A4)</f>
        <v>Boomerang Spotter Plane</v>
      </c>
      <c r="B4" s="10" t="str">
        <f>IF(TOE!B4="","",TOE!B4)</f>
        <v>Conventional Fighter</v>
      </c>
      <c r="C4" s="10">
        <f>IF(TOE!E4="","",TOE!E4)</f>
        <v>4.9989999999999997</v>
      </c>
      <c r="D4" s="11" t="str">
        <f>IF(TOE!$B4="Mek",IF($A4="","",D$1&amp;" "&amp;$C4&amp;" tons"),"")</f>
        <v/>
      </c>
      <c r="E4" s="11" t="str">
        <f>IF(TOE!$B4="Mek",IF($A4="","",E$1&amp;" "&amp;$C4&amp;" tons"),"")</f>
        <v/>
      </c>
      <c r="F4" s="11" t="str">
        <f>IF(TOE!$B4="Mek",IF($A4="","",F$1&amp;" "&amp;$C4&amp;" tons"),"")</f>
        <v/>
      </c>
      <c r="G4" s="11" t="str">
        <f>IF(TOE!$B4="Mek",IF($A4="","",G$1&amp;" "&amp;$C4&amp;" tons"),"")</f>
        <v/>
      </c>
      <c r="H4" s="11" t="str">
        <f>IF(TOE!$B4="Mek",IF($A4="","",H$1&amp;" "&amp;$C4&amp;" tons"),"")</f>
        <v/>
      </c>
      <c r="I4" s="11" t="str">
        <f>IF(TOE!$B4="Mek",IF($A4="","",I$1&amp;" "&amp;$C4&amp;" tons"),"")</f>
        <v/>
      </c>
      <c r="J4" s="11" t="str">
        <f>IF(TOE!$B4="Mek",IF($A4="","",J$1&amp;" "&amp;$C4&amp;" tons"),"")</f>
        <v/>
      </c>
      <c r="K4" s="11" t="str">
        <f>IF(TOE!$B4="Mek",IF($A4="","",K$1&amp;" "&amp;$C4&amp;" tons"),"")</f>
        <v/>
      </c>
      <c r="L4" s="11" t="str">
        <f>IF(TOE!$B4="Mek",IF($A4="","",L$1&amp;" "&amp;$C4&amp;" tons"),"")</f>
        <v/>
      </c>
      <c r="M4" s="11" t="str">
        <f>IF(TOE!$B4="Mek",IF($A4="","",M$1&amp;" "&amp;$C4&amp;" tons"),"")</f>
        <v/>
      </c>
      <c r="N4" s="11" t="str">
        <f>IF(TOE!$B4="Mek",IF($A4="","",N$1&amp;" "&amp;$C4&amp;" tons"),"")</f>
        <v/>
      </c>
      <c r="O4" s="11" t="str">
        <f>IF(TOE!$B4="Mek",IF($A4="","",O$1&amp;" "&amp;$C4&amp;" tons"),"")</f>
        <v/>
      </c>
      <c r="P4" s="11" t="str">
        <f>IF(TOE!$B4="Mek",IF($A4="","",P$1&amp;" "&amp;$C4&amp;" tons"),"")</f>
        <v/>
      </c>
    </row>
    <row r="5" spans="1:16" ht="49" customHeight="1" x14ac:dyDescent="0.2">
      <c r="A5" s="11" t="str">
        <f>IF(TOE!A5="","",TOE!A5)</f>
        <v>Leopard (Black Swan Mk III) - The Black Swan</v>
      </c>
      <c r="B5" s="10" t="str">
        <f>IF(TOE!B5="","",TOE!B5)</f>
        <v>Dropship</v>
      </c>
      <c r="C5" s="10">
        <f>IF(TOE!E5="","",TOE!E5)</f>
        <v>1900</v>
      </c>
      <c r="D5" s="11" t="str">
        <f>IF(TOE!$B5="Mek",IF($A5="","",D$1&amp;" "&amp;$C5&amp;" tons"),"")</f>
        <v/>
      </c>
      <c r="E5" s="11" t="str">
        <f>IF(TOE!$B5="Mek",IF($A5="","",E$1&amp;" "&amp;$C5&amp;" tons"),"")</f>
        <v/>
      </c>
      <c r="F5" s="11" t="str">
        <f>IF(TOE!$B5="Mek",IF($A5="","",F$1&amp;" "&amp;$C5&amp;" tons"),"")</f>
        <v/>
      </c>
      <c r="G5" s="11" t="str">
        <f>IF(TOE!$B5="Mek",IF($A5="","",G$1&amp;" "&amp;$C5&amp;" tons"),"")</f>
        <v/>
      </c>
      <c r="H5" s="11" t="str">
        <f>IF(TOE!$B5="Mek",IF($A5="","",H$1&amp;" "&amp;$C5&amp;" tons"),"")</f>
        <v/>
      </c>
      <c r="I5" s="11" t="str">
        <f>IF(TOE!$B5="Mek",IF($A5="","",I$1&amp;" "&amp;$C5&amp;" tons"),"")</f>
        <v/>
      </c>
      <c r="J5" s="11" t="str">
        <f>IF(TOE!$B5="Mek",IF($A5="","",J$1&amp;" "&amp;$C5&amp;" tons"),"")</f>
        <v/>
      </c>
      <c r="K5" s="11" t="str">
        <f>IF(TOE!$B5="Mek",IF($A5="","",K$1&amp;" "&amp;$C5&amp;" tons"),"")</f>
        <v/>
      </c>
      <c r="L5" s="11" t="str">
        <f>IF(TOE!$B5="Mek",IF($A5="","",L$1&amp;" "&amp;$C5&amp;" tons"),"")</f>
        <v/>
      </c>
      <c r="M5" s="11" t="str">
        <f>IF(TOE!$B5="Mek",IF($A5="","",M$1&amp;" "&amp;$C5&amp;" tons"),"")</f>
        <v/>
      </c>
      <c r="N5" s="11" t="str">
        <f>IF(TOE!$B5="Mek",IF($A5="","",N$1&amp;" "&amp;$C5&amp;" tons"),"")</f>
        <v/>
      </c>
      <c r="O5" s="11" t="str">
        <f>IF(TOE!$B5="Mek",IF($A5="","",O$1&amp;" "&amp;$C5&amp;" tons"),"")</f>
        <v/>
      </c>
      <c r="P5" s="11" t="str">
        <f>IF(TOE!$B5="Mek",IF($A5="","",P$1&amp;" "&amp;$C5&amp;" tons"),"")</f>
        <v/>
      </c>
    </row>
    <row r="6" spans="1:16" ht="49" customHeight="1" x14ac:dyDescent="0.2">
      <c r="A6" s="11" t="str">
        <f>IF(TOE!A6="","",TOE!A6)</f>
        <v>Union (2708)</v>
      </c>
      <c r="B6" s="10" t="str">
        <f>IF(TOE!B6="","",TOE!B6)</f>
        <v>Dropship</v>
      </c>
      <c r="C6" s="10">
        <f>IF(TOE!E6="","",TOE!E6)</f>
        <v>3600</v>
      </c>
      <c r="D6" s="11" t="str">
        <f>IF(TOE!$B6="Mek",IF($A6="","",D$1&amp;" "&amp;$C6&amp;" tons"),"")</f>
        <v/>
      </c>
      <c r="E6" s="11" t="str">
        <f>IF(TOE!$B6="Mek",IF($A6="","",E$1&amp;" "&amp;$C6&amp;" tons"),"")</f>
        <v/>
      </c>
      <c r="F6" s="11" t="str">
        <f>IF(TOE!$B6="Mek",IF($A6="","",F$1&amp;" "&amp;$C6&amp;" tons"),"")</f>
        <v/>
      </c>
      <c r="G6" s="11" t="str">
        <f>IF(TOE!$B6="Mek",IF($A6="","",G$1&amp;" "&amp;$C6&amp;" tons"),"")</f>
        <v/>
      </c>
      <c r="H6" s="11" t="str">
        <f>IF(TOE!$B6="Mek",IF($A6="","",H$1&amp;" "&amp;$C6&amp;" tons"),"")</f>
        <v/>
      </c>
      <c r="I6" s="11" t="str">
        <f>IF(TOE!$B6="Mek",IF($A6="","",I$1&amp;" "&amp;$C6&amp;" tons"),"")</f>
        <v/>
      </c>
      <c r="J6" s="11" t="str">
        <f>IF(TOE!$B6="Mek",IF($A6="","",J$1&amp;" "&amp;$C6&amp;" tons"),"")</f>
        <v/>
      </c>
      <c r="K6" s="11" t="str">
        <f>IF(TOE!$B6="Mek",IF($A6="","",K$1&amp;" "&amp;$C6&amp;" tons"),"")</f>
        <v/>
      </c>
      <c r="L6" s="11" t="str">
        <f>IF(TOE!$B6="Mek",IF($A6="","",L$1&amp;" "&amp;$C6&amp;" tons"),"")</f>
        <v/>
      </c>
      <c r="M6" s="11" t="str">
        <f>IF(TOE!$B6="Mek",IF($A6="","",M$1&amp;" "&amp;$C6&amp;" tons"),"")</f>
        <v/>
      </c>
      <c r="N6" s="11" t="str">
        <f>IF(TOE!$B6="Mek",IF($A6="","",N$1&amp;" "&amp;$C6&amp;" tons"),"")</f>
        <v/>
      </c>
      <c r="O6" s="11" t="str">
        <f>IF(TOE!$B6="Mek",IF($A6="","",O$1&amp;" "&amp;$C6&amp;" tons"),"")</f>
        <v/>
      </c>
      <c r="P6" s="11" t="str">
        <f>IF(TOE!$B6="Mek",IF($A6="","",P$1&amp;" "&amp;$C6&amp;" tons"),"")</f>
        <v/>
      </c>
    </row>
    <row r="7" spans="1:16" ht="49" customHeight="1" x14ac:dyDescent="0.2">
      <c r="A7" s="11" t="str">
        <f>IF(TOE!A7="","",TOE!A7)</f>
        <v>Gazelle (Heavy Vehicle) Mk II</v>
      </c>
      <c r="B7" s="10" t="str">
        <f>IF(TOE!B7="","",TOE!B7)</f>
        <v>Dropship</v>
      </c>
      <c r="C7" s="10">
        <f>IF(TOE!E7="","",TOE!E7)</f>
        <v>2900</v>
      </c>
      <c r="D7" s="11" t="str">
        <f>IF(TOE!$B7="Mek",IF($A7="","",D$1&amp;" "&amp;$C7&amp;" tons"),"")</f>
        <v/>
      </c>
      <c r="E7" s="11" t="str">
        <f>IF(TOE!$B7="Mek",IF($A7="","",E$1&amp;" "&amp;$C7&amp;" tons"),"")</f>
        <v/>
      </c>
      <c r="F7" s="11" t="str">
        <f>IF(TOE!$B7="Mek",IF($A7="","",F$1&amp;" "&amp;$C7&amp;" tons"),"")</f>
        <v/>
      </c>
      <c r="G7" s="11" t="str">
        <f>IF(TOE!$B7="Mek",IF($A7="","",G$1&amp;" "&amp;$C7&amp;" tons"),"")</f>
        <v/>
      </c>
      <c r="H7" s="11" t="str">
        <f>IF(TOE!$B7="Mek",IF($A7="","",H$1&amp;" "&amp;$C7&amp;" tons"),"")</f>
        <v/>
      </c>
      <c r="I7" s="11" t="str">
        <f>IF(TOE!$B7="Mek",IF($A7="","",I$1&amp;" "&amp;$C7&amp;" tons"),"")</f>
        <v/>
      </c>
      <c r="J7" s="11" t="str">
        <f>IF(TOE!$B7="Mek",IF($A7="","",J$1&amp;" "&amp;$C7&amp;" tons"),"")</f>
        <v/>
      </c>
      <c r="K7" s="11" t="str">
        <f>IF(TOE!$B7="Mek",IF($A7="","",K$1&amp;" "&amp;$C7&amp;" tons"),"")</f>
        <v/>
      </c>
      <c r="L7" s="11" t="str">
        <f>IF(TOE!$B7="Mek",IF($A7="","",L$1&amp;" "&amp;$C7&amp;" tons"),"")</f>
        <v/>
      </c>
      <c r="M7" s="11" t="str">
        <f>IF(TOE!$B7="Mek",IF($A7="","",M$1&amp;" "&amp;$C7&amp;" tons"),"")</f>
        <v/>
      </c>
      <c r="N7" s="11" t="str">
        <f>IF(TOE!$B7="Mek",IF($A7="","",N$1&amp;" "&amp;$C7&amp;" tons"),"")</f>
        <v/>
      </c>
      <c r="O7" s="11" t="str">
        <f>IF(TOE!$B7="Mek",IF($A7="","",O$1&amp;" "&amp;$C7&amp;" tons"),"")</f>
        <v/>
      </c>
      <c r="P7" s="11" t="str">
        <f>IF(TOE!$B7="Mek",IF($A7="","",P$1&amp;" "&amp;$C7&amp;" tons"),"")</f>
        <v/>
      </c>
    </row>
    <row r="8" spans="1:16" ht="49" customHeight="1" x14ac:dyDescent="0.2">
      <c r="A8" s="11" t="str">
        <f>IF(TOE!A8="","",TOE!A8)</f>
        <v>Jump Platoon (Rifle)</v>
      </c>
      <c r="B8" s="10" t="str">
        <f>IF(TOE!B8="","",TOE!B8)</f>
        <v>Infantry</v>
      </c>
      <c r="C8" s="10">
        <f>IF(TOE!E8="","",TOE!E8)</f>
        <v>4</v>
      </c>
      <c r="D8" s="11" t="str">
        <f>IF(TOE!$B8="Mek",IF($A8="","",D$1&amp;" "&amp;$C8&amp;" tons"),"")</f>
        <v/>
      </c>
      <c r="E8" s="11" t="str">
        <f>IF(TOE!$B8="Mek",IF($A8="","",E$1&amp;" "&amp;$C8&amp;" tons"),"")</f>
        <v/>
      </c>
      <c r="F8" s="11" t="str">
        <f>IF(TOE!$B8="Mek",IF($A8="","",F$1&amp;" "&amp;$C8&amp;" tons"),"")</f>
        <v/>
      </c>
      <c r="G8" s="11" t="str">
        <f>IF(TOE!$B8="Mek",IF($A8="","",G$1&amp;" "&amp;$C8&amp;" tons"),"")</f>
        <v/>
      </c>
      <c r="H8" s="11" t="str">
        <f>IF(TOE!$B8="Mek",IF($A8="","",H$1&amp;" "&amp;$C8&amp;" tons"),"")</f>
        <v/>
      </c>
      <c r="I8" s="11" t="str">
        <f>IF(TOE!$B8="Mek",IF($A8="","",I$1&amp;" "&amp;$C8&amp;" tons"),"")</f>
        <v/>
      </c>
      <c r="J8" s="11" t="str">
        <f>IF(TOE!$B8="Mek",IF($A8="","",J$1&amp;" "&amp;$C8&amp;" tons"),"")</f>
        <v/>
      </c>
      <c r="K8" s="11" t="str">
        <f>IF(TOE!$B8="Mek",IF($A8="","",K$1&amp;" "&amp;$C8&amp;" tons"),"")</f>
        <v/>
      </c>
      <c r="L8" s="11" t="str">
        <f>IF(TOE!$B8="Mek",IF($A8="","",L$1&amp;" "&amp;$C8&amp;" tons"),"")</f>
        <v/>
      </c>
      <c r="M8" s="11" t="str">
        <f>IF(TOE!$B8="Mek",IF($A8="","",M$1&amp;" "&amp;$C8&amp;" tons"),"")</f>
        <v/>
      </c>
      <c r="N8" s="11" t="str">
        <f>IF(TOE!$B8="Mek",IF($A8="","",N$1&amp;" "&amp;$C8&amp;" tons"),"")</f>
        <v/>
      </c>
      <c r="O8" s="11" t="str">
        <f>IF(TOE!$B8="Mek",IF($A8="","",O$1&amp;" "&amp;$C8&amp;" tons"),"")</f>
        <v/>
      </c>
      <c r="P8" s="11" t="str">
        <f>IF(TOE!$B8="Mek",IF($A8="","",P$1&amp;" "&amp;$C8&amp;" tons"),"")</f>
        <v/>
      </c>
    </row>
    <row r="9" spans="1:16" ht="49" customHeight="1" x14ac:dyDescent="0.2">
      <c r="A9" s="11" t="str">
        <f>IF(TOE!A9="","",TOE!A9)</f>
        <v>Jump Platoon (SRM)</v>
      </c>
      <c r="B9" s="10" t="str">
        <f>IF(TOE!B9="","",TOE!B9)</f>
        <v>Infantry</v>
      </c>
      <c r="C9" s="10">
        <f>IF(TOE!E9="","",TOE!E9)</f>
        <v>3.5</v>
      </c>
      <c r="D9" s="11" t="str">
        <f>IF(TOE!$B9="Mek",IF($A9="","",D$1&amp;" "&amp;$C9&amp;" tons"),"")</f>
        <v/>
      </c>
      <c r="E9" s="11" t="str">
        <f>IF(TOE!$B9="Mek",IF($A9="","",E$1&amp;" "&amp;$C9&amp;" tons"),"")</f>
        <v/>
      </c>
      <c r="F9" s="11" t="str">
        <f>IF(TOE!$B9="Mek",IF($A9="","",F$1&amp;" "&amp;$C9&amp;" tons"),"")</f>
        <v/>
      </c>
      <c r="G9" s="11" t="str">
        <f>IF(TOE!$B9="Mek",IF($A9="","",G$1&amp;" "&amp;$C9&amp;" tons"),"")</f>
        <v/>
      </c>
      <c r="H9" s="11" t="str">
        <f>IF(TOE!$B9="Mek",IF($A9="","",H$1&amp;" "&amp;$C9&amp;" tons"),"")</f>
        <v/>
      </c>
      <c r="I9" s="11" t="str">
        <f>IF(TOE!$B9="Mek",IF($A9="","",I$1&amp;" "&amp;$C9&amp;" tons"),"")</f>
        <v/>
      </c>
      <c r="J9" s="11" t="str">
        <f>IF(TOE!$B9="Mek",IF($A9="","",J$1&amp;" "&amp;$C9&amp;" tons"),"")</f>
        <v/>
      </c>
      <c r="K9" s="11" t="str">
        <f>IF(TOE!$B9="Mek",IF($A9="","",K$1&amp;" "&amp;$C9&amp;" tons"),"")</f>
        <v/>
      </c>
      <c r="L9" s="11" t="str">
        <f>IF(TOE!$B9="Mek",IF($A9="","",L$1&amp;" "&amp;$C9&amp;" tons"),"")</f>
        <v/>
      </c>
      <c r="M9" s="11" t="str">
        <f>IF(TOE!$B9="Mek",IF($A9="","",M$1&amp;" "&amp;$C9&amp;" tons"),"")</f>
        <v/>
      </c>
      <c r="N9" s="11" t="str">
        <f>IF(TOE!$B9="Mek",IF($A9="","",N$1&amp;" "&amp;$C9&amp;" tons"),"")</f>
        <v/>
      </c>
      <c r="O9" s="11" t="str">
        <f>IF(TOE!$B9="Mek",IF($A9="","",O$1&amp;" "&amp;$C9&amp;" tons"),"")</f>
        <v/>
      </c>
      <c r="P9" s="11" t="str">
        <f>IF(TOE!$B9="Mek",IF($A9="","",P$1&amp;" "&amp;$C9&amp;" tons"),"")</f>
        <v/>
      </c>
    </row>
    <row r="10" spans="1:16" ht="49" customHeight="1" x14ac:dyDescent="0.2">
      <c r="A10" s="11" t="str">
        <f>IF(TOE!A10="","",TOE!A10)</f>
        <v>Jump Platoon (Flamer)</v>
      </c>
      <c r="B10" s="10" t="str">
        <f>IF(TOE!B10="","",TOE!B10)</f>
        <v>Infantry</v>
      </c>
      <c r="C10" s="10">
        <f>IF(TOE!E10="","",TOE!E10)</f>
        <v>4</v>
      </c>
      <c r="D10" s="11" t="str">
        <f>IF(TOE!$B10="Mek",IF($A10="","",D$1&amp;" "&amp;$C10&amp;" tons"),"")</f>
        <v/>
      </c>
      <c r="E10" s="11" t="str">
        <f>IF(TOE!$B10="Mek",IF($A10="","",E$1&amp;" "&amp;$C10&amp;" tons"),"")</f>
        <v/>
      </c>
      <c r="F10" s="11" t="str">
        <f>IF(TOE!$B10="Mek",IF($A10="","",F$1&amp;" "&amp;$C10&amp;" tons"),"")</f>
        <v/>
      </c>
      <c r="G10" s="11" t="str">
        <f>IF(TOE!$B10="Mek",IF($A10="","",G$1&amp;" "&amp;$C10&amp;" tons"),"")</f>
        <v/>
      </c>
      <c r="H10" s="11" t="str">
        <f>IF(TOE!$B10="Mek",IF($A10="","",H$1&amp;" "&amp;$C10&amp;" tons"),"")</f>
        <v/>
      </c>
      <c r="I10" s="11" t="str">
        <f>IF(TOE!$B10="Mek",IF($A10="","",I$1&amp;" "&amp;$C10&amp;" tons"),"")</f>
        <v/>
      </c>
      <c r="J10" s="11" t="str">
        <f>IF(TOE!$B10="Mek",IF($A10="","",J$1&amp;" "&amp;$C10&amp;" tons"),"")</f>
        <v/>
      </c>
      <c r="K10" s="11" t="str">
        <f>IF(TOE!$B10="Mek",IF($A10="","",K$1&amp;" "&amp;$C10&amp;" tons"),"")</f>
        <v/>
      </c>
      <c r="L10" s="11" t="str">
        <f>IF(TOE!$B10="Mek",IF($A10="","",L$1&amp;" "&amp;$C10&amp;" tons"),"")</f>
        <v/>
      </c>
      <c r="M10" s="11" t="str">
        <f>IF(TOE!$B10="Mek",IF($A10="","",M$1&amp;" "&amp;$C10&amp;" tons"),"")</f>
        <v/>
      </c>
      <c r="N10" s="11" t="str">
        <f>IF(TOE!$B10="Mek",IF($A10="","",N$1&amp;" "&amp;$C10&amp;" tons"),"")</f>
        <v/>
      </c>
      <c r="O10" s="11" t="str">
        <f>IF(TOE!$B10="Mek",IF($A10="","",O$1&amp;" "&amp;$C10&amp;" tons"),"")</f>
        <v/>
      </c>
      <c r="P10" s="11" t="str">
        <f>IF(TOE!$B10="Mek",IF($A10="","",P$1&amp;" "&amp;$C10&amp;" tons"),"")</f>
        <v/>
      </c>
    </row>
    <row r="11" spans="1:16" ht="49" customHeight="1" x14ac:dyDescent="0.2">
      <c r="A11" s="11" t="str">
        <f>IF(TOE!A11="","",TOE!A11)</f>
        <v>Jump Platoon (Rifle) #2</v>
      </c>
      <c r="B11" s="10" t="str">
        <f>IF(TOE!B11="","",TOE!B11)</f>
        <v>Infantry</v>
      </c>
      <c r="C11" s="10">
        <f>IF(TOE!E11="","",TOE!E11)</f>
        <v>4</v>
      </c>
      <c r="D11" s="11" t="str">
        <f>IF(TOE!$B11="Mek",IF($A11="","",D$1&amp;" "&amp;$C11&amp;" tons"),"")</f>
        <v/>
      </c>
      <c r="E11" s="11" t="str">
        <f>IF(TOE!$B11="Mek",IF($A11="","",E$1&amp;" "&amp;$C11&amp;" tons"),"")</f>
        <v/>
      </c>
      <c r="F11" s="11" t="str">
        <f>IF(TOE!$B11="Mek",IF($A11="","",F$1&amp;" "&amp;$C11&amp;" tons"),"")</f>
        <v/>
      </c>
      <c r="G11" s="11" t="str">
        <f>IF(TOE!$B11="Mek",IF($A11="","",G$1&amp;" "&amp;$C11&amp;" tons"),"")</f>
        <v/>
      </c>
      <c r="H11" s="11" t="str">
        <f>IF(TOE!$B11="Mek",IF($A11="","",H$1&amp;" "&amp;$C11&amp;" tons"),"")</f>
        <v/>
      </c>
      <c r="I11" s="11" t="str">
        <f>IF(TOE!$B11="Mek",IF($A11="","",I$1&amp;" "&amp;$C11&amp;" tons"),"")</f>
        <v/>
      </c>
      <c r="J11" s="11" t="str">
        <f>IF(TOE!$B11="Mek",IF($A11="","",J$1&amp;" "&amp;$C11&amp;" tons"),"")</f>
        <v/>
      </c>
      <c r="K11" s="11" t="str">
        <f>IF(TOE!$B11="Mek",IF($A11="","",K$1&amp;" "&amp;$C11&amp;" tons"),"")</f>
        <v/>
      </c>
      <c r="L11" s="11" t="str">
        <f>IF(TOE!$B11="Mek",IF($A11="","",L$1&amp;" "&amp;$C11&amp;" tons"),"")</f>
        <v/>
      </c>
      <c r="M11" s="11" t="str">
        <f>IF(TOE!$B11="Mek",IF($A11="","",M$1&amp;" "&amp;$C11&amp;" tons"),"")</f>
        <v/>
      </c>
      <c r="N11" s="11" t="str">
        <f>IF(TOE!$B11="Mek",IF($A11="","",N$1&amp;" "&amp;$C11&amp;" tons"),"")</f>
        <v/>
      </c>
      <c r="O11" s="11" t="str">
        <f>IF(TOE!$B11="Mek",IF($A11="","",O$1&amp;" "&amp;$C11&amp;" tons"),"")</f>
        <v/>
      </c>
      <c r="P11" s="11" t="str">
        <f>IF(TOE!$B11="Mek",IF($A11="","",P$1&amp;" "&amp;$C11&amp;" tons"),"")</f>
        <v/>
      </c>
    </row>
    <row r="12" spans="1:16" ht="49" customHeight="1" x14ac:dyDescent="0.2">
      <c r="A12" s="11" t="str">
        <f>IF(TOE!A12="","",TOE!A12)</f>
        <v>Foot Platoon (Laser Marine)</v>
      </c>
      <c r="B12" s="10" t="str">
        <f>IF(TOE!B12="","",TOE!B12)</f>
        <v>Infantry</v>
      </c>
      <c r="C12" s="10">
        <f>IF(TOE!E12="","",TOE!E12)</f>
        <v>2.5</v>
      </c>
      <c r="D12" s="11" t="str">
        <f>IF(TOE!$B12="Mek",IF($A12="","",D$1&amp;" "&amp;$C12&amp;" tons"),"")</f>
        <v/>
      </c>
      <c r="E12" s="11" t="str">
        <f>IF(TOE!$B12="Mek",IF($A12="","",E$1&amp;" "&amp;$C12&amp;" tons"),"")</f>
        <v/>
      </c>
      <c r="F12" s="11" t="str">
        <f>IF(TOE!$B12="Mek",IF($A12="","",F$1&amp;" "&amp;$C12&amp;" tons"),"")</f>
        <v/>
      </c>
      <c r="G12" s="11" t="str">
        <f>IF(TOE!$B12="Mek",IF($A12="","",G$1&amp;" "&amp;$C12&amp;" tons"),"")</f>
        <v/>
      </c>
      <c r="H12" s="11" t="str">
        <f>IF(TOE!$B12="Mek",IF($A12="","",H$1&amp;" "&amp;$C12&amp;" tons"),"")</f>
        <v/>
      </c>
      <c r="I12" s="11" t="str">
        <f>IF(TOE!$B12="Mek",IF($A12="","",I$1&amp;" "&amp;$C12&amp;" tons"),"")</f>
        <v/>
      </c>
      <c r="J12" s="11" t="str">
        <f>IF(TOE!$B12="Mek",IF($A12="","",J$1&amp;" "&amp;$C12&amp;" tons"),"")</f>
        <v/>
      </c>
      <c r="K12" s="11" t="str">
        <f>IF(TOE!$B12="Mek",IF($A12="","",K$1&amp;" "&amp;$C12&amp;" tons"),"")</f>
        <v/>
      </c>
      <c r="L12" s="11" t="str">
        <f>IF(TOE!$B12="Mek",IF($A12="","",L$1&amp;" "&amp;$C12&amp;" tons"),"")</f>
        <v/>
      </c>
      <c r="M12" s="11" t="str">
        <f>IF(TOE!$B12="Mek",IF($A12="","",M$1&amp;" "&amp;$C12&amp;" tons"),"")</f>
        <v/>
      </c>
      <c r="N12" s="11" t="str">
        <f>IF(TOE!$B12="Mek",IF($A12="","",N$1&amp;" "&amp;$C12&amp;" tons"),"")</f>
        <v/>
      </c>
      <c r="O12" s="11" t="str">
        <f>IF(TOE!$B12="Mek",IF($A12="","",O$1&amp;" "&amp;$C12&amp;" tons"),"")</f>
        <v/>
      </c>
      <c r="P12" s="11" t="str">
        <f>IF(TOE!$B12="Mek",IF($A12="","",P$1&amp;" "&amp;$C12&amp;" tons"),"")</f>
        <v/>
      </c>
    </row>
    <row r="13" spans="1:16" ht="49" customHeight="1" x14ac:dyDescent="0.2">
      <c r="A13" s="11" t="str">
        <f>IF(TOE!A13="","",TOE!A13)</f>
        <v>Foot Platoon (Laser Marine) #2</v>
      </c>
      <c r="B13" s="10" t="str">
        <f>IF(TOE!B13="","",TOE!B13)</f>
        <v>Infantry</v>
      </c>
      <c r="C13" s="10">
        <f>IF(TOE!E13="","",TOE!E13)</f>
        <v>2.5</v>
      </c>
      <c r="D13" s="11" t="str">
        <f>IF(TOE!$B13="Mek",IF($A13="","",D$1&amp;" "&amp;$C13&amp;" tons"),"")</f>
        <v/>
      </c>
      <c r="E13" s="11" t="str">
        <f>IF(TOE!$B13="Mek",IF($A13="","",E$1&amp;" "&amp;$C13&amp;" tons"),"")</f>
        <v/>
      </c>
      <c r="F13" s="11" t="str">
        <f>IF(TOE!$B13="Mek",IF($A13="","",F$1&amp;" "&amp;$C13&amp;" tons"),"")</f>
        <v/>
      </c>
      <c r="G13" s="11" t="str">
        <f>IF(TOE!$B13="Mek",IF($A13="","",G$1&amp;" "&amp;$C13&amp;" tons"),"")</f>
        <v/>
      </c>
      <c r="H13" s="11" t="str">
        <f>IF(TOE!$B13="Mek",IF($A13="","",H$1&amp;" "&amp;$C13&amp;" tons"),"")</f>
        <v/>
      </c>
      <c r="I13" s="11" t="str">
        <f>IF(TOE!$B13="Mek",IF($A13="","",I$1&amp;" "&amp;$C13&amp;" tons"),"")</f>
        <v/>
      </c>
      <c r="J13" s="11" t="str">
        <f>IF(TOE!$B13="Mek",IF($A13="","",J$1&amp;" "&amp;$C13&amp;" tons"),"")</f>
        <v/>
      </c>
      <c r="K13" s="11" t="str">
        <f>IF(TOE!$B13="Mek",IF($A13="","",K$1&amp;" "&amp;$C13&amp;" tons"),"")</f>
        <v/>
      </c>
      <c r="L13" s="11" t="str">
        <f>IF(TOE!$B13="Mek",IF($A13="","",L$1&amp;" "&amp;$C13&amp;" tons"),"")</f>
        <v/>
      </c>
      <c r="M13" s="11" t="str">
        <f>IF(TOE!$B13="Mek",IF($A13="","",M$1&amp;" "&amp;$C13&amp;" tons"),"")</f>
        <v/>
      </c>
      <c r="N13" s="11" t="str">
        <f>IF(TOE!$B13="Mek",IF($A13="","",N$1&amp;" "&amp;$C13&amp;" tons"),"")</f>
        <v/>
      </c>
      <c r="O13" s="11" t="str">
        <f>IF(TOE!$B13="Mek",IF($A13="","",O$1&amp;" "&amp;$C13&amp;" tons"),"")</f>
        <v/>
      </c>
      <c r="P13" s="11" t="str">
        <f>IF(TOE!$B13="Mek",IF($A13="","",P$1&amp;" "&amp;$C13&amp;" tons"),"")</f>
        <v/>
      </c>
    </row>
    <row r="14" spans="1:16" ht="49" customHeight="1" x14ac:dyDescent="0.2">
      <c r="A14" s="11" t="str">
        <f>IF(TOE!A14="","",TOE!A14)</f>
        <v>Foot Platoon (Laser Marine) #3</v>
      </c>
      <c r="B14" s="10" t="str">
        <f>IF(TOE!B14="","",TOE!B14)</f>
        <v>Infantry</v>
      </c>
      <c r="C14" s="10">
        <f>IF(TOE!E14="","",TOE!E14)</f>
        <v>2.5</v>
      </c>
      <c r="D14" s="11" t="str">
        <f>IF(TOE!$B14="Mek",IF($A14="","",D$1&amp;" "&amp;$C14&amp;" tons"),"")</f>
        <v/>
      </c>
      <c r="E14" s="11" t="str">
        <f>IF(TOE!$B14="Mek",IF($A14="","",E$1&amp;" "&amp;$C14&amp;" tons"),"")</f>
        <v/>
      </c>
      <c r="F14" s="11" t="str">
        <f>IF(TOE!$B14="Mek",IF($A14="","",F$1&amp;" "&amp;$C14&amp;" tons"),"")</f>
        <v/>
      </c>
      <c r="G14" s="11" t="str">
        <f>IF(TOE!$B14="Mek",IF($A14="","",G$1&amp;" "&amp;$C14&amp;" tons"),"")</f>
        <v/>
      </c>
      <c r="H14" s="11" t="str">
        <f>IF(TOE!$B14="Mek",IF($A14="","",H$1&amp;" "&amp;$C14&amp;" tons"),"")</f>
        <v/>
      </c>
      <c r="I14" s="11" t="str">
        <f>IF(TOE!$B14="Mek",IF($A14="","",I$1&amp;" "&amp;$C14&amp;" tons"),"")</f>
        <v/>
      </c>
      <c r="J14" s="11" t="str">
        <f>IF(TOE!$B14="Mek",IF($A14="","",J$1&amp;" "&amp;$C14&amp;" tons"),"")</f>
        <v/>
      </c>
      <c r="K14" s="11" t="str">
        <f>IF(TOE!$B14="Mek",IF($A14="","",K$1&amp;" "&amp;$C14&amp;" tons"),"")</f>
        <v/>
      </c>
      <c r="L14" s="11" t="str">
        <f>IF(TOE!$B14="Mek",IF($A14="","",L$1&amp;" "&amp;$C14&amp;" tons"),"")</f>
        <v/>
      </c>
      <c r="M14" s="11" t="str">
        <f>IF(TOE!$B14="Mek",IF($A14="","",M$1&amp;" "&amp;$C14&amp;" tons"),"")</f>
        <v/>
      </c>
      <c r="N14" s="11" t="str">
        <f>IF(TOE!$B14="Mek",IF($A14="","",N$1&amp;" "&amp;$C14&amp;" tons"),"")</f>
        <v/>
      </c>
      <c r="O14" s="11" t="str">
        <f>IF(TOE!$B14="Mek",IF($A14="","",O$1&amp;" "&amp;$C14&amp;" tons"),"")</f>
        <v/>
      </c>
      <c r="P14" s="11" t="str">
        <f>IF(TOE!$B14="Mek",IF($A14="","",P$1&amp;" "&amp;$C14&amp;" tons"),"")</f>
        <v/>
      </c>
    </row>
    <row r="15" spans="1:16" ht="49" customHeight="1" x14ac:dyDescent="0.2">
      <c r="A15" s="11" t="str">
        <f>IF(TOE!A15="","",TOE!A15)</f>
        <v>Javelin JVN-10F 'Fire Javelin'</v>
      </c>
      <c r="B15" s="10" t="str">
        <f>IF(TOE!B15="","",TOE!B15)</f>
        <v>Mek</v>
      </c>
      <c r="C15" s="10">
        <f>IF(TOE!E15="","",TOE!E15)</f>
        <v>30</v>
      </c>
      <c r="D15" s="11" t="str">
        <f>IF(TOE!$B15="Mek",IF($A15="","",D$1&amp;" "&amp;$C15&amp;" tons"),"")</f>
        <v>Mech Head 30 tons</v>
      </c>
      <c r="E15" s="11" t="str">
        <f>IF(TOE!$B15="Mek",IF($A15="","",E$1&amp;" "&amp;$C15&amp;" tons"),"")</f>
        <v>Mech Right Torso 30 tons</v>
      </c>
      <c r="F15" s="11" t="str">
        <f>IF(TOE!$B15="Mek",IF($A15="","",F$1&amp;" "&amp;$C15&amp;" tons"),"")</f>
        <v>Mech Left Torso 30 tons</v>
      </c>
      <c r="G15" s="11" t="str">
        <f>IF(TOE!$B15="Mek",IF($A15="","",G$1&amp;" "&amp;$C15&amp;" tons"),"")</f>
        <v>Mech Right Arm 30 tons</v>
      </c>
      <c r="H15" s="11" t="str">
        <f>IF(TOE!$B15="Mek",IF($A15="","",H$1&amp;" "&amp;$C15&amp;" tons"),"")</f>
        <v>Mech Left Arm 30 tons</v>
      </c>
      <c r="I15" s="11" t="str">
        <f>IF(TOE!$B15="Mek",IF($A15="","",I$1&amp;" "&amp;$C15&amp;" tons"),"")</f>
        <v>Mech Gyro 30 tons</v>
      </c>
      <c r="J15" s="11" t="str">
        <f>IF(TOE!$B15="Mek",IF($A15="","",J$1&amp;" "&amp;$C15&amp;" tons"),"")</f>
        <v>Mech Life Support System 30 tons</v>
      </c>
      <c r="K15" s="11" t="str">
        <f>IF(TOE!$B15="Mek",IF($A15="","",K$1&amp;" "&amp;$C15&amp;" tons"),"")</f>
        <v>Upper Arm Actuator 30 tons</v>
      </c>
      <c r="L15" s="11" t="str">
        <f>IF(TOE!$B15="Mek",IF($A15="","",L$1&amp;" "&amp;$C15&amp;" tons"),"")</f>
        <v>Lower Arm Actuator 30 tons</v>
      </c>
      <c r="M15" s="11" t="str">
        <f>IF(TOE!$B15="Mek",IF($A15="","",M$1&amp;" "&amp;$C15&amp;" tons"),"")</f>
        <v>Hand Actuator 30 tons</v>
      </c>
      <c r="N15" s="11" t="str">
        <f>IF(TOE!$B15="Mek",IF($A15="","",N$1&amp;" "&amp;$C15&amp;" tons"),"")</f>
        <v>Upper Leg Actator 30 tons</v>
      </c>
      <c r="O15" s="11" t="str">
        <f>IF(TOE!$B15="Mek",IF($A15="","",O$1&amp;" "&amp;$C15&amp;" tons"),"")</f>
        <v>Lower Leg Actutor 30 tons</v>
      </c>
      <c r="P15" s="11" t="str">
        <f>IF(TOE!$B15="Mek",IF($A15="","",P$1&amp;" "&amp;$C15&amp;" tons"),"")</f>
        <v>Foot Actuator 30 tons</v>
      </c>
    </row>
    <row r="16" spans="1:16" ht="49" customHeight="1" x14ac:dyDescent="0.2">
      <c r="A16" s="11" t="str">
        <f>IF(TOE!A16="","",TOE!A16)</f>
        <v>Hunchback HBK-4P</v>
      </c>
      <c r="B16" s="10" t="str">
        <f>IF(TOE!B16="","",TOE!B16)</f>
        <v>Mek</v>
      </c>
      <c r="C16" s="10">
        <f>IF(TOE!E16="","",TOE!E16)</f>
        <v>50</v>
      </c>
      <c r="D16" s="11" t="str">
        <f>IF(TOE!$B16="Mek",IF($A16="","",D$1&amp;" "&amp;$C16&amp;" tons"),"")</f>
        <v>Mech Head 50 tons</v>
      </c>
      <c r="E16" s="11" t="str">
        <f>IF(TOE!$B16="Mek",IF($A16="","",E$1&amp;" "&amp;$C16&amp;" tons"),"")</f>
        <v>Mech Right Torso 50 tons</v>
      </c>
      <c r="F16" s="11" t="str">
        <f>IF(TOE!$B16="Mek",IF($A16="","",F$1&amp;" "&amp;$C16&amp;" tons"),"")</f>
        <v>Mech Left Torso 50 tons</v>
      </c>
      <c r="G16" s="11" t="str">
        <f>IF(TOE!$B16="Mek",IF($A16="","",G$1&amp;" "&amp;$C16&amp;" tons"),"")</f>
        <v>Mech Right Arm 50 tons</v>
      </c>
      <c r="H16" s="11" t="str">
        <f>IF(TOE!$B16="Mek",IF($A16="","",H$1&amp;" "&amp;$C16&amp;" tons"),"")</f>
        <v>Mech Left Arm 50 tons</v>
      </c>
      <c r="I16" s="11" t="str">
        <f>IF(TOE!$B16="Mek",IF($A16="","",I$1&amp;" "&amp;$C16&amp;" tons"),"")</f>
        <v>Mech Gyro 50 tons</v>
      </c>
      <c r="J16" s="11" t="str">
        <f>IF(TOE!$B16="Mek",IF($A16="","",J$1&amp;" "&amp;$C16&amp;" tons"),"")</f>
        <v>Mech Life Support System 50 tons</v>
      </c>
      <c r="K16" s="11" t="str">
        <f>IF(TOE!$B16="Mek",IF($A16="","",K$1&amp;" "&amp;$C16&amp;" tons"),"")</f>
        <v>Upper Arm Actuator 50 tons</v>
      </c>
      <c r="L16" s="11" t="str">
        <f>IF(TOE!$B16="Mek",IF($A16="","",L$1&amp;" "&amp;$C16&amp;" tons"),"")</f>
        <v>Lower Arm Actuator 50 tons</v>
      </c>
      <c r="M16" s="11" t="str">
        <f>IF(TOE!$B16="Mek",IF($A16="","",M$1&amp;" "&amp;$C16&amp;" tons"),"")</f>
        <v>Hand Actuator 50 tons</v>
      </c>
      <c r="N16" s="11" t="str">
        <f>IF(TOE!$B16="Mek",IF($A16="","",N$1&amp;" "&amp;$C16&amp;" tons"),"")</f>
        <v>Upper Leg Actator 50 tons</v>
      </c>
      <c r="O16" s="11" t="str">
        <f>IF(TOE!$B16="Mek",IF($A16="","",O$1&amp;" "&amp;$C16&amp;" tons"),"")</f>
        <v>Lower Leg Actutor 50 tons</v>
      </c>
      <c r="P16" s="11" t="str">
        <f>IF(TOE!$B16="Mek",IF($A16="","",P$1&amp;" "&amp;$C16&amp;" tons"),"")</f>
        <v>Foot Actuator 50 tons</v>
      </c>
    </row>
    <row r="17" spans="1:16" ht="49" customHeight="1" x14ac:dyDescent="0.2">
      <c r="A17" s="11" t="str">
        <f>IF(TOE!A17="","",TOE!A17)</f>
        <v>Griffin GRF-1S</v>
      </c>
      <c r="B17" s="10" t="str">
        <f>IF(TOE!B17="","",TOE!B17)</f>
        <v>Mek</v>
      </c>
      <c r="C17" s="10">
        <f>IF(TOE!E17="","",TOE!E17)</f>
        <v>55</v>
      </c>
      <c r="D17" s="11" t="str">
        <f>IF(TOE!$B17="Mek",IF($A17="","",D$1&amp;" "&amp;$C17&amp;" tons"),"")</f>
        <v>Mech Head 55 tons</v>
      </c>
      <c r="E17" s="11" t="str">
        <f>IF(TOE!$B17="Mek",IF($A17="","",E$1&amp;" "&amp;$C17&amp;" tons"),"")</f>
        <v>Mech Right Torso 55 tons</v>
      </c>
      <c r="F17" s="11" t="str">
        <f>IF(TOE!$B17="Mek",IF($A17="","",F$1&amp;" "&amp;$C17&amp;" tons"),"")</f>
        <v>Mech Left Torso 55 tons</v>
      </c>
      <c r="G17" s="11" t="str">
        <f>IF(TOE!$B17="Mek",IF($A17="","",G$1&amp;" "&amp;$C17&amp;" tons"),"")</f>
        <v>Mech Right Arm 55 tons</v>
      </c>
      <c r="H17" s="11" t="str">
        <f>IF(TOE!$B17="Mek",IF($A17="","",H$1&amp;" "&amp;$C17&amp;" tons"),"")</f>
        <v>Mech Left Arm 55 tons</v>
      </c>
      <c r="I17" s="11" t="str">
        <f>IF(TOE!$B17="Mek",IF($A17="","",I$1&amp;" "&amp;$C17&amp;" tons"),"")</f>
        <v>Mech Gyro 55 tons</v>
      </c>
      <c r="J17" s="11" t="str">
        <f>IF(TOE!$B17="Mek",IF($A17="","",J$1&amp;" "&amp;$C17&amp;" tons"),"")</f>
        <v>Mech Life Support System 55 tons</v>
      </c>
      <c r="K17" s="11" t="str">
        <f>IF(TOE!$B17="Mek",IF($A17="","",K$1&amp;" "&amp;$C17&amp;" tons"),"")</f>
        <v>Upper Arm Actuator 55 tons</v>
      </c>
      <c r="L17" s="11" t="str">
        <f>IF(TOE!$B17="Mek",IF($A17="","",L$1&amp;" "&amp;$C17&amp;" tons"),"")</f>
        <v>Lower Arm Actuator 55 tons</v>
      </c>
      <c r="M17" s="11" t="str">
        <f>IF(TOE!$B17="Mek",IF($A17="","",M$1&amp;" "&amp;$C17&amp;" tons"),"")</f>
        <v>Hand Actuator 55 tons</v>
      </c>
      <c r="N17" s="11" t="str">
        <f>IF(TOE!$B17="Mek",IF($A17="","",N$1&amp;" "&amp;$C17&amp;" tons"),"")</f>
        <v>Upper Leg Actator 55 tons</v>
      </c>
      <c r="O17" s="11" t="str">
        <f>IF(TOE!$B17="Mek",IF($A17="","",O$1&amp;" "&amp;$C17&amp;" tons"),"")</f>
        <v>Lower Leg Actutor 55 tons</v>
      </c>
      <c r="P17" s="11" t="str">
        <f>IF(TOE!$B17="Mek",IF($A17="","",P$1&amp;" "&amp;$C17&amp;" tons"),"")</f>
        <v>Foot Actuator 55 tons</v>
      </c>
    </row>
    <row r="18" spans="1:16" ht="49" customHeight="1" x14ac:dyDescent="0.2">
      <c r="A18" s="11" t="str">
        <f>IF(TOE!A18="","",TOE!A18)</f>
        <v>Black Knight BL-7-KNT-L</v>
      </c>
      <c r="B18" s="10" t="str">
        <f>IF(TOE!B18="","",TOE!B18)</f>
        <v>Mek</v>
      </c>
      <c r="C18" s="10">
        <f>IF(TOE!E18="","",TOE!E18)</f>
        <v>75</v>
      </c>
      <c r="D18" s="11" t="str">
        <f>IF(TOE!$B18="Mek",IF($A18="","",D$1&amp;" "&amp;$C18&amp;" tons"),"")</f>
        <v>Mech Head 75 tons</v>
      </c>
      <c r="E18" s="11" t="str">
        <f>IF(TOE!$B18="Mek",IF($A18="","",E$1&amp;" "&amp;$C18&amp;" tons"),"")</f>
        <v>Mech Right Torso 75 tons</v>
      </c>
      <c r="F18" s="11" t="str">
        <f>IF(TOE!$B18="Mek",IF($A18="","",F$1&amp;" "&amp;$C18&amp;" tons"),"")</f>
        <v>Mech Left Torso 75 tons</v>
      </c>
      <c r="G18" s="11" t="str">
        <f>IF(TOE!$B18="Mek",IF($A18="","",G$1&amp;" "&amp;$C18&amp;" tons"),"")</f>
        <v>Mech Right Arm 75 tons</v>
      </c>
      <c r="H18" s="11" t="str">
        <f>IF(TOE!$B18="Mek",IF($A18="","",H$1&amp;" "&amp;$C18&amp;" tons"),"")</f>
        <v>Mech Left Arm 75 tons</v>
      </c>
      <c r="I18" s="11" t="str">
        <f>IF(TOE!$B18="Mek",IF($A18="","",I$1&amp;" "&amp;$C18&amp;" tons"),"")</f>
        <v>Mech Gyro 75 tons</v>
      </c>
      <c r="J18" s="11" t="str">
        <f>IF(TOE!$B18="Mek",IF($A18="","",J$1&amp;" "&amp;$C18&amp;" tons"),"")</f>
        <v>Mech Life Support System 75 tons</v>
      </c>
      <c r="K18" s="11" t="str">
        <f>IF(TOE!$B18="Mek",IF($A18="","",K$1&amp;" "&amp;$C18&amp;" tons"),"")</f>
        <v>Upper Arm Actuator 75 tons</v>
      </c>
      <c r="L18" s="11" t="str">
        <f>IF(TOE!$B18="Mek",IF($A18="","",L$1&amp;" "&amp;$C18&amp;" tons"),"")</f>
        <v>Lower Arm Actuator 75 tons</v>
      </c>
      <c r="M18" s="11" t="str">
        <f>IF(TOE!$B18="Mek",IF($A18="","",M$1&amp;" "&amp;$C18&amp;" tons"),"")</f>
        <v>Hand Actuator 75 tons</v>
      </c>
      <c r="N18" s="11" t="str">
        <f>IF(TOE!$B18="Mek",IF($A18="","",N$1&amp;" "&amp;$C18&amp;" tons"),"")</f>
        <v>Upper Leg Actator 75 tons</v>
      </c>
      <c r="O18" s="11" t="str">
        <f>IF(TOE!$B18="Mek",IF($A18="","",O$1&amp;" "&amp;$C18&amp;" tons"),"")</f>
        <v>Lower Leg Actutor 75 tons</v>
      </c>
      <c r="P18" s="11" t="str">
        <f>IF(TOE!$B18="Mek",IF($A18="","",P$1&amp;" "&amp;$C18&amp;" tons"),"")</f>
        <v>Foot Actuator 75 tons</v>
      </c>
    </row>
    <row r="19" spans="1:16" ht="49" customHeight="1" x14ac:dyDescent="0.2">
      <c r="A19" s="11" t="str">
        <f>IF(TOE!A19="","",TOE!A19)</f>
        <v>Grasshopper GHR-5H</v>
      </c>
      <c r="B19" s="10" t="str">
        <f>IF(TOE!B19="","",TOE!B19)</f>
        <v>Mek</v>
      </c>
      <c r="C19" s="10">
        <f>IF(TOE!E19="","",TOE!E19)</f>
        <v>70</v>
      </c>
      <c r="D19" s="11" t="str">
        <f>IF(TOE!$B19="Mek",IF($A19="","",D$1&amp;" "&amp;$C19&amp;" tons"),"")</f>
        <v>Mech Head 70 tons</v>
      </c>
      <c r="E19" s="11" t="str">
        <f>IF(TOE!$B19="Mek",IF($A19="","",E$1&amp;" "&amp;$C19&amp;" tons"),"")</f>
        <v>Mech Right Torso 70 tons</v>
      </c>
      <c r="F19" s="11" t="str">
        <f>IF(TOE!$B19="Mek",IF($A19="","",F$1&amp;" "&amp;$C19&amp;" tons"),"")</f>
        <v>Mech Left Torso 70 tons</v>
      </c>
      <c r="G19" s="11" t="str">
        <f>IF(TOE!$B19="Mek",IF($A19="","",G$1&amp;" "&amp;$C19&amp;" tons"),"")</f>
        <v>Mech Right Arm 70 tons</v>
      </c>
      <c r="H19" s="11" t="str">
        <f>IF(TOE!$B19="Mek",IF($A19="","",H$1&amp;" "&amp;$C19&amp;" tons"),"")</f>
        <v>Mech Left Arm 70 tons</v>
      </c>
      <c r="I19" s="11" t="str">
        <f>IF(TOE!$B19="Mek",IF($A19="","",I$1&amp;" "&amp;$C19&amp;" tons"),"")</f>
        <v>Mech Gyro 70 tons</v>
      </c>
      <c r="J19" s="11" t="str">
        <f>IF(TOE!$B19="Mek",IF($A19="","",J$1&amp;" "&amp;$C19&amp;" tons"),"")</f>
        <v>Mech Life Support System 70 tons</v>
      </c>
      <c r="K19" s="11" t="str">
        <f>IF(TOE!$B19="Mek",IF($A19="","",K$1&amp;" "&amp;$C19&amp;" tons"),"")</f>
        <v>Upper Arm Actuator 70 tons</v>
      </c>
      <c r="L19" s="11" t="str">
        <f>IF(TOE!$B19="Mek",IF($A19="","",L$1&amp;" "&amp;$C19&amp;" tons"),"")</f>
        <v>Lower Arm Actuator 70 tons</v>
      </c>
      <c r="M19" s="11" t="str">
        <f>IF(TOE!$B19="Mek",IF($A19="","",M$1&amp;" "&amp;$C19&amp;" tons"),"")</f>
        <v>Hand Actuator 70 tons</v>
      </c>
      <c r="N19" s="11" t="str">
        <f>IF(TOE!$B19="Mek",IF($A19="","",N$1&amp;" "&amp;$C19&amp;" tons"),"")</f>
        <v>Upper Leg Actator 70 tons</v>
      </c>
      <c r="O19" s="11" t="str">
        <f>IF(TOE!$B19="Mek",IF($A19="","",O$1&amp;" "&amp;$C19&amp;" tons"),"")</f>
        <v>Lower Leg Actutor 70 tons</v>
      </c>
      <c r="P19" s="11" t="str">
        <f>IF(TOE!$B19="Mek",IF($A19="","",P$1&amp;" "&amp;$C19&amp;" tons"),"")</f>
        <v>Foot Actuator 70 tons</v>
      </c>
    </row>
    <row r="20" spans="1:16" ht="49" customHeight="1" x14ac:dyDescent="0.2">
      <c r="A20" s="11" t="str">
        <f>IF(TOE!A20="","",TOE!A20)</f>
        <v>Stalker STK-4N</v>
      </c>
      <c r="B20" s="10" t="str">
        <f>IF(TOE!B20="","",TOE!B20)</f>
        <v>Mek</v>
      </c>
      <c r="C20" s="10">
        <f>IF(TOE!E20="","",TOE!E20)</f>
        <v>85</v>
      </c>
      <c r="D20" s="11" t="str">
        <f>IF(TOE!$B20="Mek",IF($A20="","",D$1&amp;" "&amp;$C20&amp;" tons"),"")</f>
        <v>Mech Head 85 tons</v>
      </c>
      <c r="E20" s="11" t="str">
        <f>IF(TOE!$B20="Mek",IF($A20="","",E$1&amp;" "&amp;$C20&amp;" tons"),"")</f>
        <v>Mech Right Torso 85 tons</v>
      </c>
      <c r="F20" s="11" t="str">
        <f>IF(TOE!$B20="Mek",IF($A20="","",F$1&amp;" "&amp;$C20&amp;" tons"),"")</f>
        <v>Mech Left Torso 85 tons</v>
      </c>
      <c r="G20" s="11" t="str">
        <f>IF(TOE!$B20="Mek",IF($A20="","",G$1&amp;" "&amp;$C20&amp;" tons"),"")</f>
        <v>Mech Right Arm 85 tons</v>
      </c>
      <c r="H20" s="11" t="str">
        <f>IF(TOE!$B20="Mek",IF($A20="","",H$1&amp;" "&amp;$C20&amp;" tons"),"")</f>
        <v>Mech Left Arm 85 tons</v>
      </c>
      <c r="I20" s="11" t="str">
        <f>IF(TOE!$B20="Mek",IF($A20="","",I$1&amp;" "&amp;$C20&amp;" tons"),"")</f>
        <v>Mech Gyro 85 tons</v>
      </c>
      <c r="J20" s="11" t="str">
        <f>IF(TOE!$B20="Mek",IF($A20="","",J$1&amp;" "&amp;$C20&amp;" tons"),"")</f>
        <v>Mech Life Support System 85 tons</v>
      </c>
      <c r="K20" s="11" t="str">
        <f>IF(TOE!$B20="Mek",IF($A20="","",K$1&amp;" "&amp;$C20&amp;" tons"),"")</f>
        <v>Upper Arm Actuator 85 tons</v>
      </c>
      <c r="L20" s="11" t="str">
        <f>IF(TOE!$B20="Mek",IF($A20="","",L$1&amp;" "&amp;$C20&amp;" tons"),"")</f>
        <v>Lower Arm Actuator 85 tons</v>
      </c>
      <c r="M20" s="11" t="str">
        <f>IF(TOE!$B20="Mek",IF($A20="","",M$1&amp;" "&amp;$C20&amp;" tons"),"")</f>
        <v>Hand Actuator 85 tons</v>
      </c>
      <c r="N20" s="11" t="str">
        <f>IF(TOE!$B20="Mek",IF($A20="","",N$1&amp;" "&amp;$C20&amp;" tons"),"")</f>
        <v>Upper Leg Actator 85 tons</v>
      </c>
      <c r="O20" s="11" t="str">
        <f>IF(TOE!$B20="Mek",IF($A20="","",O$1&amp;" "&amp;$C20&amp;" tons"),"")</f>
        <v>Lower Leg Actutor 85 tons</v>
      </c>
      <c r="P20" s="11" t="str">
        <f>IF(TOE!$B20="Mek",IF($A20="","",P$1&amp;" "&amp;$C20&amp;" tons"),"")</f>
        <v>Foot Actuator 85 tons</v>
      </c>
    </row>
    <row r="21" spans="1:16" ht="49" customHeight="1" x14ac:dyDescent="0.2">
      <c r="A21" s="11" t="str">
        <f>IF(TOE!A21="","",TOE!A21)</f>
        <v>Hunchback HBK-4P #2</v>
      </c>
      <c r="B21" s="10" t="str">
        <f>IF(TOE!B21="","",TOE!B21)</f>
        <v>Mek</v>
      </c>
      <c r="C21" s="10">
        <f>IF(TOE!E21="","",TOE!E21)</f>
        <v>50</v>
      </c>
      <c r="D21" s="11" t="str">
        <f>IF(TOE!$B21="Mek",IF($A21="","",D$1&amp;" "&amp;$C21&amp;" tons"),"")</f>
        <v>Mech Head 50 tons</v>
      </c>
      <c r="E21" s="11" t="str">
        <f>IF(TOE!$B21="Mek",IF($A21="","",E$1&amp;" "&amp;$C21&amp;" tons"),"")</f>
        <v>Mech Right Torso 50 tons</v>
      </c>
      <c r="F21" s="11" t="str">
        <f>IF(TOE!$B21="Mek",IF($A21="","",F$1&amp;" "&amp;$C21&amp;" tons"),"")</f>
        <v>Mech Left Torso 50 tons</v>
      </c>
      <c r="G21" s="11" t="str">
        <f>IF(TOE!$B21="Mek",IF($A21="","",G$1&amp;" "&amp;$C21&amp;" tons"),"")</f>
        <v>Mech Right Arm 50 tons</v>
      </c>
      <c r="H21" s="11" t="str">
        <f>IF(TOE!$B21="Mek",IF($A21="","",H$1&amp;" "&amp;$C21&amp;" tons"),"")</f>
        <v>Mech Left Arm 50 tons</v>
      </c>
      <c r="I21" s="11" t="str">
        <f>IF(TOE!$B21="Mek",IF($A21="","",I$1&amp;" "&amp;$C21&amp;" tons"),"")</f>
        <v>Mech Gyro 50 tons</v>
      </c>
      <c r="J21" s="11" t="str">
        <f>IF(TOE!$B21="Mek",IF($A21="","",J$1&amp;" "&amp;$C21&amp;" tons"),"")</f>
        <v>Mech Life Support System 50 tons</v>
      </c>
      <c r="K21" s="11" t="str">
        <f>IF(TOE!$B21="Mek",IF($A21="","",K$1&amp;" "&amp;$C21&amp;" tons"),"")</f>
        <v>Upper Arm Actuator 50 tons</v>
      </c>
      <c r="L21" s="11" t="str">
        <f>IF(TOE!$B21="Mek",IF($A21="","",L$1&amp;" "&amp;$C21&amp;" tons"),"")</f>
        <v>Lower Arm Actuator 50 tons</v>
      </c>
      <c r="M21" s="11" t="str">
        <f>IF(TOE!$B21="Mek",IF($A21="","",M$1&amp;" "&amp;$C21&amp;" tons"),"")</f>
        <v>Hand Actuator 50 tons</v>
      </c>
      <c r="N21" s="11" t="str">
        <f>IF(TOE!$B21="Mek",IF($A21="","",N$1&amp;" "&amp;$C21&amp;" tons"),"")</f>
        <v>Upper Leg Actator 50 tons</v>
      </c>
      <c r="O21" s="11" t="str">
        <f>IF(TOE!$B21="Mek",IF($A21="","",O$1&amp;" "&amp;$C21&amp;" tons"),"")</f>
        <v>Lower Leg Actutor 50 tons</v>
      </c>
      <c r="P21" s="11" t="str">
        <f>IF(TOE!$B21="Mek",IF($A21="","",P$1&amp;" "&amp;$C21&amp;" tons"),"")</f>
        <v>Foot Actuator 50 tons</v>
      </c>
    </row>
    <row r="22" spans="1:16" ht="49" customHeight="1" x14ac:dyDescent="0.2">
      <c r="A22" s="11" t="str">
        <f>IF(TOE!A22="","",TOE!A22)</f>
        <v>Thunderbolt TDR-5SS</v>
      </c>
      <c r="B22" s="10" t="str">
        <f>IF(TOE!B22="","",TOE!B22)</f>
        <v>Mek</v>
      </c>
      <c r="C22" s="10">
        <f>IF(TOE!E22="","",TOE!E22)</f>
        <v>65</v>
      </c>
      <c r="D22" s="11" t="str">
        <f>IF(TOE!$B22="Mek",IF($A22="","",D$1&amp;" "&amp;$C22&amp;" tons"),"")</f>
        <v>Mech Head 65 tons</v>
      </c>
      <c r="E22" s="11" t="str">
        <f>IF(TOE!$B22="Mek",IF($A22="","",E$1&amp;" "&amp;$C22&amp;" tons"),"")</f>
        <v>Mech Right Torso 65 tons</v>
      </c>
      <c r="F22" s="11" t="str">
        <f>IF(TOE!$B22="Mek",IF($A22="","",F$1&amp;" "&amp;$C22&amp;" tons"),"")</f>
        <v>Mech Left Torso 65 tons</v>
      </c>
      <c r="G22" s="11" t="str">
        <f>IF(TOE!$B22="Mek",IF($A22="","",G$1&amp;" "&amp;$C22&amp;" tons"),"")</f>
        <v>Mech Right Arm 65 tons</v>
      </c>
      <c r="H22" s="11" t="str">
        <f>IF(TOE!$B22="Mek",IF($A22="","",H$1&amp;" "&amp;$C22&amp;" tons"),"")</f>
        <v>Mech Left Arm 65 tons</v>
      </c>
      <c r="I22" s="11" t="str">
        <f>IF(TOE!$B22="Mek",IF($A22="","",I$1&amp;" "&amp;$C22&amp;" tons"),"")</f>
        <v>Mech Gyro 65 tons</v>
      </c>
      <c r="J22" s="11" t="str">
        <f>IF(TOE!$B22="Mek",IF($A22="","",J$1&amp;" "&amp;$C22&amp;" tons"),"")</f>
        <v>Mech Life Support System 65 tons</v>
      </c>
      <c r="K22" s="11" t="str">
        <f>IF(TOE!$B22="Mek",IF($A22="","",K$1&amp;" "&amp;$C22&amp;" tons"),"")</f>
        <v>Upper Arm Actuator 65 tons</v>
      </c>
      <c r="L22" s="11" t="str">
        <f>IF(TOE!$B22="Mek",IF($A22="","",L$1&amp;" "&amp;$C22&amp;" tons"),"")</f>
        <v>Lower Arm Actuator 65 tons</v>
      </c>
      <c r="M22" s="11" t="str">
        <f>IF(TOE!$B22="Mek",IF($A22="","",M$1&amp;" "&amp;$C22&amp;" tons"),"")</f>
        <v>Hand Actuator 65 tons</v>
      </c>
      <c r="N22" s="11" t="str">
        <f>IF(TOE!$B22="Mek",IF($A22="","",N$1&amp;" "&amp;$C22&amp;" tons"),"")</f>
        <v>Upper Leg Actator 65 tons</v>
      </c>
      <c r="O22" s="11" t="str">
        <f>IF(TOE!$B22="Mek",IF($A22="","",O$1&amp;" "&amp;$C22&amp;" tons"),"")</f>
        <v>Lower Leg Actutor 65 tons</v>
      </c>
      <c r="P22" s="11" t="str">
        <f>IF(TOE!$B22="Mek",IF($A22="","",P$1&amp;" "&amp;$C22&amp;" tons"),"")</f>
        <v>Foot Actuator 65 tons</v>
      </c>
    </row>
    <row r="23" spans="1:16" ht="49" customHeight="1" x14ac:dyDescent="0.2">
      <c r="A23" s="11" t="str">
        <f>IF(TOE!A23="","",TOE!A23)</f>
        <v>Rifleman RFL-3N</v>
      </c>
      <c r="B23" s="10" t="str">
        <f>IF(TOE!B23="","",TOE!B23)</f>
        <v>Mek</v>
      </c>
      <c r="C23" s="10">
        <f>IF(TOE!E23="","",TOE!E23)</f>
        <v>60</v>
      </c>
      <c r="D23" s="11" t="str">
        <f>IF(TOE!$B23="Mek",IF($A23="","",D$1&amp;" "&amp;$C23&amp;" tons"),"")</f>
        <v>Mech Head 60 tons</v>
      </c>
      <c r="E23" s="11" t="str">
        <f>IF(TOE!$B23="Mek",IF($A23="","",E$1&amp;" "&amp;$C23&amp;" tons"),"")</f>
        <v>Mech Right Torso 60 tons</v>
      </c>
      <c r="F23" s="11" t="str">
        <f>IF(TOE!$B23="Mek",IF($A23="","",F$1&amp;" "&amp;$C23&amp;" tons"),"")</f>
        <v>Mech Left Torso 60 tons</v>
      </c>
      <c r="G23" s="11" t="str">
        <f>IF(TOE!$B23="Mek",IF($A23="","",G$1&amp;" "&amp;$C23&amp;" tons"),"")</f>
        <v>Mech Right Arm 60 tons</v>
      </c>
      <c r="H23" s="11" t="str">
        <f>IF(TOE!$B23="Mek",IF($A23="","",H$1&amp;" "&amp;$C23&amp;" tons"),"")</f>
        <v>Mech Left Arm 60 tons</v>
      </c>
      <c r="I23" s="11" t="str">
        <f>IF(TOE!$B23="Mek",IF($A23="","",I$1&amp;" "&amp;$C23&amp;" tons"),"")</f>
        <v>Mech Gyro 60 tons</v>
      </c>
      <c r="J23" s="11" t="str">
        <f>IF(TOE!$B23="Mek",IF($A23="","",J$1&amp;" "&amp;$C23&amp;" tons"),"")</f>
        <v>Mech Life Support System 60 tons</v>
      </c>
      <c r="K23" s="11" t="str">
        <f>IF(TOE!$B23="Mek",IF($A23="","",K$1&amp;" "&amp;$C23&amp;" tons"),"")</f>
        <v>Upper Arm Actuator 60 tons</v>
      </c>
      <c r="L23" s="11" t="str">
        <f>IF(TOE!$B23="Mek",IF($A23="","",L$1&amp;" "&amp;$C23&amp;" tons"),"")</f>
        <v>Lower Arm Actuator 60 tons</v>
      </c>
      <c r="M23" s="11" t="str">
        <f>IF(TOE!$B23="Mek",IF($A23="","",M$1&amp;" "&amp;$C23&amp;" tons"),"")</f>
        <v>Hand Actuator 60 tons</v>
      </c>
      <c r="N23" s="11" t="str">
        <f>IF(TOE!$B23="Mek",IF($A23="","",N$1&amp;" "&amp;$C23&amp;" tons"),"")</f>
        <v>Upper Leg Actator 60 tons</v>
      </c>
      <c r="O23" s="11" t="str">
        <f>IF(TOE!$B23="Mek",IF($A23="","",O$1&amp;" "&amp;$C23&amp;" tons"),"")</f>
        <v>Lower Leg Actutor 60 tons</v>
      </c>
      <c r="P23" s="11" t="str">
        <f>IF(TOE!$B23="Mek",IF($A23="","",P$1&amp;" "&amp;$C23&amp;" tons"),"")</f>
        <v>Foot Actuator 60 tons</v>
      </c>
    </row>
    <row r="24" spans="1:16" ht="49" customHeight="1" x14ac:dyDescent="0.2">
      <c r="A24" s="11" t="str">
        <f>IF(TOE!A24="","",TOE!A24)</f>
        <v>Thunderbolt TDR-5SS #2</v>
      </c>
      <c r="B24" s="10" t="str">
        <f>IF(TOE!B24="","",TOE!B24)</f>
        <v>Mek</v>
      </c>
      <c r="C24" s="10">
        <f>IF(TOE!E24="","",TOE!E24)</f>
        <v>65</v>
      </c>
      <c r="D24" s="11" t="str">
        <f>IF(TOE!$B24="Mek",IF($A24="","",D$1&amp;" "&amp;$C24&amp;" tons"),"")</f>
        <v>Mech Head 65 tons</v>
      </c>
      <c r="E24" s="11" t="str">
        <f>IF(TOE!$B24="Mek",IF($A24="","",E$1&amp;" "&amp;$C24&amp;" tons"),"")</f>
        <v>Mech Right Torso 65 tons</v>
      </c>
      <c r="F24" s="11" t="str">
        <f>IF(TOE!$B24="Mek",IF($A24="","",F$1&amp;" "&amp;$C24&amp;" tons"),"")</f>
        <v>Mech Left Torso 65 tons</v>
      </c>
      <c r="G24" s="11" t="str">
        <f>IF(TOE!$B24="Mek",IF($A24="","",G$1&amp;" "&amp;$C24&amp;" tons"),"")</f>
        <v>Mech Right Arm 65 tons</v>
      </c>
      <c r="H24" s="11" t="str">
        <f>IF(TOE!$B24="Mek",IF($A24="","",H$1&amp;" "&amp;$C24&amp;" tons"),"")</f>
        <v>Mech Left Arm 65 tons</v>
      </c>
      <c r="I24" s="11" t="str">
        <f>IF(TOE!$B24="Mek",IF($A24="","",I$1&amp;" "&amp;$C24&amp;" tons"),"")</f>
        <v>Mech Gyro 65 tons</v>
      </c>
      <c r="J24" s="11" t="str">
        <f>IF(TOE!$B24="Mek",IF($A24="","",J$1&amp;" "&amp;$C24&amp;" tons"),"")</f>
        <v>Mech Life Support System 65 tons</v>
      </c>
      <c r="K24" s="11" t="str">
        <f>IF(TOE!$B24="Mek",IF($A24="","",K$1&amp;" "&amp;$C24&amp;" tons"),"")</f>
        <v>Upper Arm Actuator 65 tons</v>
      </c>
      <c r="L24" s="11" t="str">
        <f>IF(TOE!$B24="Mek",IF($A24="","",L$1&amp;" "&amp;$C24&amp;" tons"),"")</f>
        <v>Lower Arm Actuator 65 tons</v>
      </c>
      <c r="M24" s="11" t="str">
        <f>IF(TOE!$B24="Mek",IF($A24="","",M$1&amp;" "&amp;$C24&amp;" tons"),"")</f>
        <v>Hand Actuator 65 tons</v>
      </c>
      <c r="N24" s="11" t="str">
        <f>IF(TOE!$B24="Mek",IF($A24="","",N$1&amp;" "&amp;$C24&amp;" tons"),"")</f>
        <v>Upper Leg Actator 65 tons</v>
      </c>
      <c r="O24" s="11" t="str">
        <f>IF(TOE!$B24="Mek",IF($A24="","",O$1&amp;" "&amp;$C24&amp;" tons"),"")</f>
        <v>Lower Leg Actutor 65 tons</v>
      </c>
      <c r="P24" s="11" t="str">
        <f>IF(TOE!$B24="Mek",IF($A24="","",P$1&amp;" "&amp;$C24&amp;" tons"),"")</f>
        <v>Foot Actuator 65 tons</v>
      </c>
    </row>
    <row r="25" spans="1:16" ht="49" customHeight="1" x14ac:dyDescent="0.2">
      <c r="A25" s="11" t="str">
        <f>IF(TOE!A25="","",TOE!A25)</f>
        <v>Cicada CDA-3C</v>
      </c>
      <c r="B25" s="10" t="str">
        <f>IF(TOE!B25="","",TOE!B25)</f>
        <v>Mek</v>
      </c>
      <c r="C25" s="10">
        <f>IF(TOE!E25="","",TOE!E25)</f>
        <v>40</v>
      </c>
      <c r="D25" s="11" t="str">
        <f>IF(TOE!$B25="Mek",IF($A25="","",D$1&amp;" "&amp;$C25&amp;" tons"),"")</f>
        <v>Mech Head 40 tons</v>
      </c>
      <c r="E25" s="11" t="str">
        <f>IF(TOE!$B25="Mek",IF($A25="","",E$1&amp;" "&amp;$C25&amp;" tons"),"")</f>
        <v>Mech Right Torso 40 tons</v>
      </c>
      <c r="F25" s="11" t="str">
        <f>IF(TOE!$B25="Mek",IF($A25="","",F$1&amp;" "&amp;$C25&amp;" tons"),"")</f>
        <v>Mech Left Torso 40 tons</v>
      </c>
      <c r="G25" s="11" t="str">
        <f>IF(TOE!$B25="Mek",IF($A25="","",G$1&amp;" "&amp;$C25&amp;" tons"),"")</f>
        <v>Mech Right Arm 40 tons</v>
      </c>
      <c r="H25" s="11" t="str">
        <f>IF(TOE!$B25="Mek",IF($A25="","",H$1&amp;" "&amp;$C25&amp;" tons"),"")</f>
        <v>Mech Left Arm 40 tons</v>
      </c>
      <c r="I25" s="11" t="str">
        <f>IF(TOE!$B25="Mek",IF($A25="","",I$1&amp;" "&amp;$C25&amp;" tons"),"")</f>
        <v>Mech Gyro 40 tons</v>
      </c>
      <c r="J25" s="11" t="str">
        <f>IF(TOE!$B25="Mek",IF($A25="","",J$1&amp;" "&amp;$C25&amp;" tons"),"")</f>
        <v>Mech Life Support System 40 tons</v>
      </c>
      <c r="K25" s="11" t="str">
        <f>IF(TOE!$B25="Mek",IF($A25="","",K$1&amp;" "&amp;$C25&amp;" tons"),"")</f>
        <v>Upper Arm Actuator 40 tons</v>
      </c>
      <c r="L25" s="11" t="str">
        <f>IF(TOE!$B25="Mek",IF($A25="","",L$1&amp;" "&amp;$C25&amp;" tons"),"")</f>
        <v>Lower Arm Actuator 40 tons</v>
      </c>
      <c r="M25" s="11" t="str">
        <f>IF(TOE!$B25="Mek",IF($A25="","",M$1&amp;" "&amp;$C25&amp;" tons"),"")</f>
        <v>Hand Actuator 40 tons</v>
      </c>
      <c r="N25" s="11" t="str">
        <f>IF(TOE!$B25="Mek",IF($A25="","",N$1&amp;" "&amp;$C25&amp;" tons"),"")</f>
        <v>Upper Leg Actator 40 tons</v>
      </c>
      <c r="O25" s="11" t="str">
        <f>IF(TOE!$B25="Mek",IF($A25="","",O$1&amp;" "&amp;$C25&amp;" tons"),"")</f>
        <v>Lower Leg Actutor 40 tons</v>
      </c>
      <c r="P25" s="11" t="str">
        <f>IF(TOE!$B25="Mek",IF($A25="","",P$1&amp;" "&amp;$C25&amp;" tons"),"")</f>
        <v>Foot Actuator 40 tons</v>
      </c>
    </row>
    <row r="26" spans="1:16" ht="49" customHeight="1" x14ac:dyDescent="0.2">
      <c r="A26" s="11" t="str">
        <f>IF(TOE!A26="","",TOE!A26)</f>
        <v>Trebuchet TBT-5S</v>
      </c>
      <c r="B26" s="10" t="str">
        <f>IF(TOE!B26="","",TOE!B26)</f>
        <v>Mek</v>
      </c>
      <c r="C26" s="10">
        <f>IF(TOE!E26="","",TOE!E26)</f>
        <v>50</v>
      </c>
      <c r="D26" s="11" t="str">
        <f>IF(TOE!$B26="Mek",IF($A26="","",D$1&amp;" "&amp;$C26&amp;" tons"),"")</f>
        <v>Mech Head 50 tons</v>
      </c>
      <c r="E26" s="11" t="str">
        <f>IF(TOE!$B26="Mek",IF($A26="","",E$1&amp;" "&amp;$C26&amp;" tons"),"")</f>
        <v>Mech Right Torso 50 tons</v>
      </c>
      <c r="F26" s="11" t="str">
        <f>IF(TOE!$B26="Mek",IF($A26="","",F$1&amp;" "&amp;$C26&amp;" tons"),"")</f>
        <v>Mech Left Torso 50 tons</v>
      </c>
      <c r="G26" s="11" t="str">
        <f>IF(TOE!$B26="Mek",IF($A26="","",G$1&amp;" "&amp;$C26&amp;" tons"),"")</f>
        <v>Mech Right Arm 50 tons</v>
      </c>
      <c r="H26" s="11" t="str">
        <f>IF(TOE!$B26="Mek",IF($A26="","",H$1&amp;" "&amp;$C26&amp;" tons"),"")</f>
        <v>Mech Left Arm 50 tons</v>
      </c>
      <c r="I26" s="11" t="str">
        <f>IF(TOE!$B26="Mek",IF($A26="","",I$1&amp;" "&amp;$C26&amp;" tons"),"")</f>
        <v>Mech Gyro 50 tons</v>
      </c>
      <c r="J26" s="11" t="str">
        <f>IF(TOE!$B26="Mek",IF($A26="","",J$1&amp;" "&amp;$C26&amp;" tons"),"")</f>
        <v>Mech Life Support System 50 tons</v>
      </c>
      <c r="K26" s="11" t="str">
        <f>IF(TOE!$B26="Mek",IF($A26="","",K$1&amp;" "&amp;$C26&amp;" tons"),"")</f>
        <v>Upper Arm Actuator 50 tons</v>
      </c>
      <c r="L26" s="11" t="str">
        <f>IF(TOE!$B26="Mek",IF($A26="","",L$1&amp;" "&amp;$C26&amp;" tons"),"")</f>
        <v>Lower Arm Actuator 50 tons</v>
      </c>
      <c r="M26" s="11" t="str">
        <f>IF(TOE!$B26="Mek",IF($A26="","",M$1&amp;" "&amp;$C26&amp;" tons"),"")</f>
        <v>Hand Actuator 50 tons</v>
      </c>
      <c r="N26" s="11" t="str">
        <f>IF(TOE!$B26="Mek",IF($A26="","",N$1&amp;" "&amp;$C26&amp;" tons"),"")</f>
        <v>Upper Leg Actator 50 tons</v>
      </c>
      <c r="O26" s="11" t="str">
        <f>IF(TOE!$B26="Mek",IF($A26="","",O$1&amp;" "&amp;$C26&amp;" tons"),"")</f>
        <v>Lower Leg Actutor 50 tons</v>
      </c>
      <c r="P26" s="11" t="str">
        <f>IF(TOE!$B26="Mek",IF($A26="","",P$1&amp;" "&amp;$C26&amp;" tons"),"")</f>
        <v>Foot Actuator 50 tons</v>
      </c>
    </row>
    <row r="27" spans="1:16" ht="49" customHeight="1" x14ac:dyDescent="0.2">
      <c r="A27" s="11" t="str">
        <f>IF(TOE!A27="","",TOE!A27)</f>
        <v>Stalker STK-3F</v>
      </c>
      <c r="B27" s="10" t="str">
        <f>IF(TOE!B27="","",TOE!B27)</f>
        <v>Mek</v>
      </c>
      <c r="C27" s="10">
        <f>IF(TOE!E27="","",TOE!E27)</f>
        <v>85</v>
      </c>
      <c r="D27" s="11" t="str">
        <f>IF(TOE!$B27="Mek",IF($A27="","",D$1&amp;" "&amp;$C27&amp;" tons"),"")</f>
        <v>Mech Head 85 tons</v>
      </c>
      <c r="E27" s="11" t="str">
        <f>IF(TOE!$B27="Mek",IF($A27="","",E$1&amp;" "&amp;$C27&amp;" tons"),"")</f>
        <v>Mech Right Torso 85 tons</v>
      </c>
      <c r="F27" s="11" t="str">
        <f>IF(TOE!$B27="Mek",IF($A27="","",F$1&amp;" "&amp;$C27&amp;" tons"),"")</f>
        <v>Mech Left Torso 85 tons</v>
      </c>
      <c r="G27" s="11" t="str">
        <f>IF(TOE!$B27="Mek",IF($A27="","",G$1&amp;" "&amp;$C27&amp;" tons"),"")</f>
        <v>Mech Right Arm 85 tons</v>
      </c>
      <c r="H27" s="11" t="str">
        <f>IF(TOE!$B27="Mek",IF($A27="","",H$1&amp;" "&amp;$C27&amp;" tons"),"")</f>
        <v>Mech Left Arm 85 tons</v>
      </c>
      <c r="I27" s="11" t="str">
        <f>IF(TOE!$B27="Mek",IF($A27="","",I$1&amp;" "&amp;$C27&amp;" tons"),"")</f>
        <v>Mech Gyro 85 tons</v>
      </c>
      <c r="J27" s="11" t="str">
        <f>IF(TOE!$B27="Mek",IF($A27="","",J$1&amp;" "&amp;$C27&amp;" tons"),"")</f>
        <v>Mech Life Support System 85 tons</v>
      </c>
      <c r="K27" s="11" t="str">
        <f>IF(TOE!$B27="Mek",IF($A27="","",K$1&amp;" "&amp;$C27&amp;" tons"),"")</f>
        <v>Upper Arm Actuator 85 tons</v>
      </c>
      <c r="L27" s="11" t="str">
        <f>IF(TOE!$B27="Mek",IF($A27="","",L$1&amp;" "&amp;$C27&amp;" tons"),"")</f>
        <v>Lower Arm Actuator 85 tons</v>
      </c>
      <c r="M27" s="11" t="str">
        <f>IF(TOE!$B27="Mek",IF($A27="","",M$1&amp;" "&amp;$C27&amp;" tons"),"")</f>
        <v>Hand Actuator 85 tons</v>
      </c>
      <c r="N27" s="11" t="str">
        <f>IF(TOE!$B27="Mek",IF($A27="","",N$1&amp;" "&amp;$C27&amp;" tons"),"")</f>
        <v>Upper Leg Actator 85 tons</v>
      </c>
      <c r="O27" s="11" t="str">
        <f>IF(TOE!$B27="Mek",IF($A27="","",O$1&amp;" "&amp;$C27&amp;" tons"),"")</f>
        <v>Lower Leg Actutor 85 tons</v>
      </c>
      <c r="P27" s="11" t="str">
        <f>IF(TOE!$B27="Mek",IF($A27="","",P$1&amp;" "&amp;$C27&amp;" tons"),"")</f>
        <v>Foot Actuator 85 tons</v>
      </c>
    </row>
    <row r="28" spans="1:16" ht="49" customHeight="1" x14ac:dyDescent="0.2">
      <c r="A28" s="11" t="str">
        <f>IF(TOE!A28="","",TOE!A28)</f>
        <v>Spider SDR-5V</v>
      </c>
      <c r="B28" s="10" t="str">
        <f>IF(TOE!B28="","",TOE!B28)</f>
        <v>Mek</v>
      </c>
      <c r="C28" s="10">
        <f>IF(TOE!E28="","",TOE!E28)</f>
        <v>30</v>
      </c>
      <c r="D28" s="11" t="str">
        <f>IF(TOE!$B28="Mek",IF($A28="","",D$1&amp;" "&amp;$C28&amp;" tons"),"")</f>
        <v>Mech Head 30 tons</v>
      </c>
      <c r="E28" s="11" t="str">
        <f>IF(TOE!$B28="Mek",IF($A28="","",E$1&amp;" "&amp;$C28&amp;" tons"),"")</f>
        <v>Mech Right Torso 30 tons</v>
      </c>
      <c r="F28" s="11" t="str">
        <f>IF(TOE!$B28="Mek",IF($A28="","",F$1&amp;" "&amp;$C28&amp;" tons"),"")</f>
        <v>Mech Left Torso 30 tons</v>
      </c>
      <c r="G28" s="11" t="str">
        <f>IF(TOE!$B28="Mek",IF($A28="","",G$1&amp;" "&amp;$C28&amp;" tons"),"")</f>
        <v>Mech Right Arm 30 tons</v>
      </c>
      <c r="H28" s="11" t="str">
        <f>IF(TOE!$B28="Mek",IF($A28="","",H$1&amp;" "&amp;$C28&amp;" tons"),"")</f>
        <v>Mech Left Arm 30 tons</v>
      </c>
      <c r="I28" s="11" t="str">
        <f>IF(TOE!$B28="Mek",IF($A28="","",I$1&amp;" "&amp;$C28&amp;" tons"),"")</f>
        <v>Mech Gyro 30 tons</v>
      </c>
      <c r="J28" s="11" t="str">
        <f>IF(TOE!$B28="Mek",IF($A28="","",J$1&amp;" "&amp;$C28&amp;" tons"),"")</f>
        <v>Mech Life Support System 30 tons</v>
      </c>
      <c r="K28" s="11" t="str">
        <f>IF(TOE!$B28="Mek",IF($A28="","",K$1&amp;" "&amp;$C28&amp;" tons"),"")</f>
        <v>Upper Arm Actuator 30 tons</v>
      </c>
      <c r="L28" s="11" t="str">
        <f>IF(TOE!$B28="Mek",IF($A28="","",L$1&amp;" "&amp;$C28&amp;" tons"),"")</f>
        <v>Lower Arm Actuator 30 tons</v>
      </c>
      <c r="M28" s="11" t="str">
        <f>IF(TOE!$B28="Mek",IF($A28="","",M$1&amp;" "&amp;$C28&amp;" tons"),"")</f>
        <v>Hand Actuator 30 tons</v>
      </c>
      <c r="N28" s="11" t="str">
        <f>IF(TOE!$B28="Mek",IF($A28="","",N$1&amp;" "&amp;$C28&amp;" tons"),"")</f>
        <v>Upper Leg Actator 30 tons</v>
      </c>
      <c r="O28" s="11" t="str">
        <f>IF(TOE!$B28="Mek",IF($A28="","",O$1&amp;" "&amp;$C28&amp;" tons"),"")</f>
        <v>Lower Leg Actutor 30 tons</v>
      </c>
      <c r="P28" s="11" t="str">
        <f>IF(TOE!$B28="Mek",IF($A28="","",P$1&amp;" "&amp;$C28&amp;" tons"),"")</f>
        <v>Foot Actuator 30 tons</v>
      </c>
    </row>
    <row r="29" spans="1:16" ht="49" customHeight="1" x14ac:dyDescent="0.2">
      <c r="A29" s="11" t="str">
        <f>IF(TOE!A29="","",TOE!A29)</f>
        <v>Shadow Hawk SHD-2K</v>
      </c>
      <c r="B29" s="10" t="str">
        <f>IF(TOE!B29="","",TOE!B29)</f>
        <v>Mek</v>
      </c>
      <c r="C29" s="10">
        <f>IF(TOE!E29="","",TOE!E29)</f>
        <v>55</v>
      </c>
      <c r="D29" s="11" t="str">
        <f>IF(TOE!$B29="Mek",IF($A29="","",D$1&amp;" "&amp;$C29&amp;" tons"),"")</f>
        <v>Mech Head 55 tons</v>
      </c>
      <c r="E29" s="11" t="str">
        <f>IF(TOE!$B29="Mek",IF($A29="","",E$1&amp;" "&amp;$C29&amp;" tons"),"")</f>
        <v>Mech Right Torso 55 tons</v>
      </c>
      <c r="F29" s="11" t="str">
        <f>IF(TOE!$B29="Mek",IF($A29="","",F$1&amp;" "&amp;$C29&amp;" tons"),"")</f>
        <v>Mech Left Torso 55 tons</v>
      </c>
      <c r="G29" s="11" t="str">
        <f>IF(TOE!$B29="Mek",IF($A29="","",G$1&amp;" "&amp;$C29&amp;" tons"),"")</f>
        <v>Mech Right Arm 55 tons</v>
      </c>
      <c r="H29" s="11" t="str">
        <f>IF(TOE!$B29="Mek",IF($A29="","",H$1&amp;" "&amp;$C29&amp;" tons"),"")</f>
        <v>Mech Left Arm 55 tons</v>
      </c>
      <c r="I29" s="11" t="str">
        <f>IF(TOE!$B29="Mek",IF($A29="","",I$1&amp;" "&amp;$C29&amp;" tons"),"")</f>
        <v>Mech Gyro 55 tons</v>
      </c>
      <c r="J29" s="11" t="str">
        <f>IF(TOE!$B29="Mek",IF($A29="","",J$1&amp;" "&amp;$C29&amp;" tons"),"")</f>
        <v>Mech Life Support System 55 tons</v>
      </c>
      <c r="K29" s="11" t="str">
        <f>IF(TOE!$B29="Mek",IF($A29="","",K$1&amp;" "&amp;$C29&amp;" tons"),"")</f>
        <v>Upper Arm Actuator 55 tons</v>
      </c>
      <c r="L29" s="11" t="str">
        <f>IF(TOE!$B29="Mek",IF($A29="","",L$1&amp;" "&amp;$C29&amp;" tons"),"")</f>
        <v>Lower Arm Actuator 55 tons</v>
      </c>
      <c r="M29" s="11" t="str">
        <f>IF(TOE!$B29="Mek",IF($A29="","",M$1&amp;" "&amp;$C29&amp;" tons"),"")</f>
        <v>Hand Actuator 55 tons</v>
      </c>
      <c r="N29" s="11" t="str">
        <f>IF(TOE!$B29="Mek",IF($A29="","",N$1&amp;" "&amp;$C29&amp;" tons"),"")</f>
        <v>Upper Leg Actator 55 tons</v>
      </c>
      <c r="O29" s="11" t="str">
        <f>IF(TOE!$B29="Mek",IF($A29="","",O$1&amp;" "&amp;$C29&amp;" tons"),"")</f>
        <v>Lower Leg Actutor 55 tons</v>
      </c>
      <c r="P29" s="11" t="str">
        <f>IF(TOE!$B29="Mek",IF($A29="","",P$1&amp;" "&amp;$C29&amp;" tons"),"")</f>
        <v>Foot Actuator 55 tons</v>
      </c>
    </row>
    <row r="30" spans="1:16" ht="49" customHeight="1" x14ac:dyDescent="0.2">
      <c r="A30" s="11" t="str">
        <f>IF(TOE!A30="","",TOE!A30)</f>
        <v>Crab CRB-20</v>
      </c>
      <c r="B30" s="10" t="str">
        <f>IF(TOE!B30="","",TOE!B30)</f>
        <v>Mek</v>
      </c>
      <c r="C30" s="10">
        <f>IF(TOE!E30="","",TOE!E30)</f>
        <v>50</v>
      </c>
      <c r="D30" s="11" t="str">
        <f>IF(TOE!$B30="Mek",IF($A30="","",D$1&amp;" "&amp;$C30&amp;" tons"),"")</f>
        <v>Mech Head 50 tons</v>
      </c>
      <c r="E30" s="11" t="str">
        <f>IF(TOE!$B30="Mek",IF($A30="","",E$1&amp;" "&amp;$C30&amp;" tons"),"")</f>
        <v>Mech Right Torso 50 tons</v>
      </c>
      <c r="F30" s="11" t="str">
        <f>IF(TOE!$B30="Mek",IF($A30="","",F$1&amp;" "&amp;$C30&amp;" tons"),"")</f>
        <v>Mech Left Torso 50 tons</v>
      </c>
      <c r="G30" s="11" t="str">
        <f>IF(TOE!$B30="Mek",IF($A30="","",G$1&amp;" "&amp;$C30&amp;" tons"),"")</f>
        <v>Mech Right Arm 50 tons</v>
      </c>
      <c r="H30" s="11" t="str">
        <f>IF(TOE!$B30="Mek",IF($A30="","",H$1&amp;" "&amp;$C30&amp;" tons"),"")</f>
        <v>Mech Left Arm 50 tons</v>
      </c>
      <c r="I30" s="11" t="str">
        <f>IF(TOE!$B30="Mek",IF($A30="","",I$1&amp;" "&amp;$C30&amp;" tons"),"")</f>
        <v>Mech Gyro 50 tons</v>
      </c>
      <c r="J30" s="11" t="str">
        <f>IF(TOE!$B30="Mek",IF($A30="","",J$1&amp;" "&amp;$C30&amp;" tons"),"")</f>
        <v>Mech Life Support System 50 tons</v>
      </c>
      <c r="K30" s="11" t="str">
        <f>IF(TOE!$B30="Mek",IF($A30="","",K$1&amp;" "&amp;$C30&amp;" tons"),"")</f>
        <v>Upper Arm Actuator 50 tons</v>
      </c>
      <c r="L30" s="11" t="str">
        <f>IF(TOE!$B30="Mek",IF($A30="","",L$1&amp;" "&amp;$C30&amp;" tons"),"")</f>
        <v>Lower Arm Actuator 50 tons</v>
      </c>
      <c r="M30" s="11" t="str">
        <f>IF(TOE!$B30="Mek",IF($A30="","",M$1&amp;" "&amp;$C30&amp;" tons"),"")</f>
        <v>Hand Actuator 50 tons</v>
      </c>
      <c r="N30" s="11" t="str">
        <f>IF(TOE!$B30="Mek",IF($A30="","",N$1&amp;" "&amp;$C30&amp;" tons"),"")</f>
        <v>Upper Leg Actator 50 tons</v>
      </c>
      <c r="O30" s="11" t="str">
        <f>IF(TOE!$B30="Mek",IF($A30="","",O$1&amp;" "&amp;$C30&amp;" tons"),"")</f>
        <v>Lower Leg Actutor 50 tons</v>
      </c>
      <c r="P30" s="11" t="str">
        <f>IF(TOE!$B30="Mek",IF($A30="","",P$1&amp;" "&amp;$C30&amp;" tons"),"")</f>
        <v>Foot Actuator 50 tons</v>
      </c>
    </row>
    <row r="31" spans="1:16" ht="49" customHeight="1" x14ac:dyDescent="0.2">
      <c r="A31" s="11" t="str">
        <f>IF(TOE!A31="","",TOE!A31)</f>
        <v>Javelin JVN-10N</v>
      </c>
      <c r="B31" s="10" t="str">
        <f>IF(TOE!B31="","",TOE!B31)</f>
        <v>Mek</v>
      </c>
      <c r="C31" s="10">
        <f>IF(TOE!E31="","",TOE!E31)</f>
        <v>30</v>
      </c>
      <c r="D31" s="11" t="str">
        <f>IF(TOE!$B31="Mek",IF($A31="","",D$1&amp;" "&amp;$C31&amp;" tons"),"")</f>
        <v>Mech Head 30 tons</v>
      </c>
      <c r="E31" s="11" t="str">
        <f>IF(TOE!$B31="Mek",IF($A31="","",E$1&amp;" "&amp;$C31&amp;" tons"),"")</f>
        <v>Mech Right Torso 30 tons</v>
      </c>
      <c r="F31" s="11" t="str">
        <f>IF(TOE!$B31="Mek",IF($A31="","",F$1&amp;" "&amp;$C31&amp;" tons"),"")</f>
        <v>Mech Left Torso 30 tons</v>
      </c>
      <c r="G31" s="11" t="str">
        <f>IF(TOE!$B31="Mek",IF($A31="","",G$1&amp;" "&amp;$C31&amp;" tons"),"")</f>
        <v>Mech Right Arm 30 tons</v>
      </c>
      <c r="H31" s="11" t="str">
        <f>IF(TOE!$B31="Mek",IF($A31="","",H$1&amp;" "&amp;$C31&amp;" tons"),"")</f>
        <v>Mech Left Arm 30 tons</v>
      </c>
      <c r="I31" s="11" t="str">
        <f>IF(TOE!$B31="Mek",IF($A31="","",I$1&amp;" "&amp;$C31&amp;" tons"),"")</f>
        <v>Mech Gyro 30 tons</v>
      </c>
      <c r="J31" s="11" t="str">
        <f>IF(TOE!$B31="Mek",IF($A31="","",J$1&amp;" "&amp;$C31&amp;" tons"),"")</f>
        <v>Mech Life Support System 30 tons</v>
      </c>
      <c r="K31" s="11" t="str">
        <f>IF(TOE!$B31="Mek",IF($A31="","",K$1&amp;" "&amp;$C31&amp;" tons"),"")</f>
        <v>Upper Arm Actuator 30 tons</v>
      </c>
      <c r="L31" s="11" t="str">
        <f>IF(TOE!$B31="Mek",IF($A31="","",L$1&amp;" "&amp;$C31&amp;" tons"),"")</f>
        <v>Lower Arm Actuator 30 tons</v>
      </c>
      <c r="M31" s="11" t="str">
        <f>IF(TOE!$B31="Mek",IF($A31="","",M$1&amp;" "&amp;$C31&amp;" tons"),"")</f>
        <v>Hand Actuator 30 tons</v>
      </c>
      <c r="N31" s="11" t="str">
        <f>IF(TOE!$B31="Mek",IF($A31="","",N$1&amp;" "&amp;$C31&amp;" tons"),"")</f>
        <v>Upper Leg Actator 30 tons</v>
      </c>
      <c r="O31" s="11" t="str">
        <f>IF(TOE!$B31="Mek",IF($A31="","",O$1&amp;" "&amp;$C31&amp;" tons"),"")</f>
        <v>Lower Leg Actutor 30 tons</v>
      </c>
      <c r="P31" s="11" t="str">
        <f>IF(TOE!$B31="Mek",IF($A31="","",P$1&amp;" "&amp;$C31&amp;" tons"),"")</f>
        <v>Foot Actuator 30 tons</v>
      </c>
    </row>
    <row r="32" spans="1:16" ht="49" customHeight="1" x14ac:dyDescent="0.2">
      <c r="A32" s="11" t="str">
        <f>IF(TOE!A32="","",TOE!A32)</f>
        <v>Stinger LAM STG-A5</v>
      </c>
      <c r="B32" s="10" t="str">
        <f>IF(TOE!B32="","",TOE!B32)</f>
        <v>Mek</v>
      </c>
      <c r="C32" s="10">
        <f>IF(TOE!E32="","",TOE!E32)</f>
        <v>30</v>
      </c>
      <c r="D32" s="11" t="str">
        <f>IF(TOE!$B32="Mek",IF($A32="","",D$1&amp;" "&amp;$C32&amp;" tons"),"")</f>
        <v>Mech Head 30 tons</v>
      </c>
      <c r="E32" s="11" t="str">
        <f>IF(TOE!$B32="Mek",IF($A32="","",E$1&amp;" "&amp;$C32&amp;" tons"),"")</f>
        <v>Mech Right Torso 30 tons</v>
      </c>
      <c r="F32" s="11" t="str">
        <f>IF(TOE!$B32="Mek",IF($A32="","",F$1&amp;" "&amp;$C32&amp;" tons"),"")</f>
        <v>Mech Left Torso 30 tons</v>
      </c>
      <c r="G32" s="11" t="str">
        <f>IF(TOE!$B32="Mek",IF($A32="","",G$1&amp;" "&amp;$C32&amp;" tons"),"")</f>
        <v>Mech Right Arm 30 tons</v>
      </c>
      <c r="H32" s="11" t="str">
        <f>IF(TOE!$B32="Mek",IF($A32="","",H$1&amp;" "&amp;$C32&amp;" tons"),"")</f>
        <v>Mech Left Arm 30 tons</v>
      </c>
      <c r="I32" s="11" t="str">
        <f>IF(TOE!$B32="Mek",IF($A32="","",I$1&amp;" "&amp;$C32&amp;" tons"),"")</f>
        <v>Mech Gyro 30 tons</v>
      </c>
      <c r="J32" s="11" t="str">
        <f>IF(TOE!$B32="Mek",IF($A32="","",J$1&amp;" "&amp;$C32&amp;" tons"),"")</f>
        <v>Mech Life Support System 30 tons</v>
      </c>
      <c r="K32" s="11" t="str">
        <f>IF(TOE!$B32="Mek",IF($A32="","",K$1&amp;" "&amp;$C32&amp;" tons"),"")</f>
        <v>Upper Arm Actuator 30 tons</v>
      </c>
      <c r="L32" s="11" t="str">
        <f>IF(TOE!$B32="Mek",IF($A32="","",L$1&amp;" "&amp;$C32&amp;" tons"),"")</f>
        <v>Lower Arm Actuator 30 tons</v>
      </c>
      <c r="M32" s="11" t="str">
        <f>IF(TOE!$B32="Mek",IF($A32="","",M$1&amp;" "&amp;$C32&amp;" tons"),"")</f>
        <v>Hand Actuator 30 tons</v>
      </c>
      <c r="N32" s="11" t="str">
        <f>IF(TOE!$B32="Mek",IF($A32="","",N$1&amp;" "&amp;$C32&amp;" tons"),"")</f>
        <v>Upper Leg Actator 30 tons</v>
      </c>
      <c r="O32" s="11" t="str">
        <f>IF(TOE!$B32="Mek",IF($A32="","",O$1&amp;" "&amp;$C32&amp;" tons"),"")</f>
        <v>Lower Leg Actutor 30 tons</v>
      </c>
      <c r="P32" s="11" t="str">
        <f>IF(TOE!$B32="Mek",IF($A32="","",P$1&amp;" "&amp;$C32&amp;" tons"),"")</f>
        <v>Foot Actuator 30 tons</v>
      </c>
    </row>
    <row r="33" spans="1:16" ht="49" customHeight="1" x14ac:dyDescent="0.2">
      <c r="A33" s="11" t="str">
        <f>IF(TOE!A33="","",TOE!A33)</f>
        <v>MASH Truck (ICE)</v>
      </c>
      <c r="B33" s="10" t="str">
        <f>IF(TOE!B33="","",TOE!B33)</f>
        <v>Tank</v>
      </c>
      <c r="C33" s="10">
        <f>IF(TOE!E33="","",TOE!E33)</f>
        <v>20</v>
      </c>
      <c r="D33" s="11" t="str">
        <f>IF(TOE!$B33="Mek",IF($A33="","",D$1&amp;" "&amp;$C33&amp;" tons"),"")</f>
        <v/>
      </c>
      <c r="E33" s="11" t="str">
        <f>IF(TOE!$B33="Mek",IF($A33="","",E$1&amp;" "&amp;$C33&amp;" tons"),"")</f>
        <v/>
      </c>
      <c r="F33" s="11" t="str">
        <f>IF(TOE!$B33="Mek",IF($A33="","",F$1&amp;" "&amp;$C33&amp;" tons"),"")</f>
        <v/>
      </c>
      <c r="G33" s="11" t="str">
        <f>IF(TOE!$B33="Mek",IF($A33="","",G$1&amp;" "&amp;$C33&amp;" tons"),"")</f>
        <v/>
      </c>
      <c r="H33" s="11" t="str">
        <f>IF(TOE!$B33="Mek",IF($A33="","",H$1&amp;" "&amp;$C33&amp;" tons"),"")</f>
        <v/>
      </c>
      <c r="I33" s="11" t="str">
        <f>IF(TOE!$B33="Mek",IF($A33="","",I$1&amp;" "&amp;$C33&amp;" tons"),"")</f>
        <v/>
      </c>
      <c r="J33" s="11" t="str">
        <f>IF(TOE!$B33="Mek",IF($A33="","",J$1&amp;" "&amp;$C33&amp;" tons"),"")</f>
        <v/>
      </c>
      <c r="K33" s="11" t="str">
        <f>IF(TOE!$B33="Mek",IF($A33="","",K$1&amp;" "&amp;$C33&amp;" tons"),"")</f>
        <v/>
      </c>
      <c r="L33" s="11" t="str">
        <f>IF(TOE!$B33="Mek",IF($A33="","",L$1&amp;" "&amp;$C33&amp;" tons"),"")</f>
        <v/>
      </c>
      <c r="M33" s="11" t="str">
        <f>IF(TOE!$B33="Mek",IF($A33="","",M$1&amp;" "&amp;$C33&amp;" tons"),"")</f>
        <v/>
      </c>
      <c r="N33" s="11" t="str">
        <f>IF(TOE!$B33="Mek",IF($A33="","",N$1&amp;" "&amp;$C33&amp;" tons"),"")</f>
        <v/>
      </c>
      <c r="O33" s="11" t="str">
        <f>IF(TOE!$B33="Mek",IF($A33="","",O$1&amp;" "&amp;$C33&amp;" tons"),"")</f>
        <v/>
      </c>
      <c r="P33" s="11" t="str">
        <f>IF(TOE!$B33="Mek",IF($A33="","",P$1&amp;" "&amp;$C33&amp;" tons"),"")</f>
        <v/>
      </c>
    </row>
    <row r="34" spans="1:16" ht="49" customHeight="1" x14ac:dyDescent="0.2">
      <c r="A34" s="11" t="str">
        <f>IF(TOE!A34="","",TOE!A34)</f>
        <v>Heavy BattleMech Recovery Vehicle</v>
      </c>
      <c r="B34" s="10" t="str">
        <f>IF(TOE!B34="","",TOE!B34)</f>
        <v>Tank</v>
      </c>
      <c r="C34" s="10">
        <f>IF(TOE!E34="","",TOE!E34)</f>
        <v>70</v>
      </c>
      <c r="D34" s="11" t="str">
        <f>IF(TOE!$B34="Mek",IF($A34="","",D$1&amp;" "&amp;$C34&amp;" tons"),"")</f>
        <v/>
      </c>
      <c r="E34" s="11" t="str">
        <f>IF(TOE!$B34="Mek",IF($A34="","",E$1&amp;" "&amp;$C34&amp;" tons"),"")</f>
        <v/>
      </c>
      <c r="F34" s="11" t="str">
        <f>IF(TOE!$B34="Mek",IF($A34="","",F$1&amp;" "&amp;$C34&amp;" tons"),"")</f>
        <v/>
      </c>
      <c r="G34" s="11" t="str">
        <f>IF(TOE!$B34="Mek",IF($A34="","",G$1&amp;" "&amp;$C34&amp;" tons"),"")</f>
        <v/>
      </c>
      <c r="H34" s="11" t="str">
        <f>IF(TOE!$B34="Mek",IF($A34="","",H$1&amp;" "&amp;$C34&amp;" tons"),"")</f>
        <v/>
      </c>
      <c r="I34" s="11" t="str">
        <f>IF(TOE!$B34="Mek",IF($A34="","",I$1&amp;" "&amp;$C34&amp;" tons"),"")</f>
        <v/>
      </c>
      <c r="J34" s="11" t="str">
        <f>IF(TOE!$B34="Mek",IF($A34="","",J$1&amp;" "&amp;$C34&amp;" tons"),"")</f>
        <v/>
      </c>
      <c r="K34" s="11" t="str">
        <f>IF(TOE!$B34="Mek",IF($A34="","",K$1&amp;" "&amp;$C34&amp;" tons"),"")</f>
        <v/>
      </c>
      <c r="L34" s="11" t="str">
        <f>IF(TOE!$B34="Mek",IF($A34="","",L$1&amp;" "&amp;$C34&amp;" tons"),"")</f>
        <v/>
      </c>
      <c r="M34" s="11" t="str">
        <f>IF(TOE!$B34="Mek",IF($A34="","",M$1&amp;" "&amp;$C34&amp;" tons"),"")</f>
        <v/>
      </c>
      <c r="N34" s="11" t="str">
        <f>IF(TOE!$B34="Mek",IF($A34="","",N$1&amp;" "&amp;$C34&amp;" tons"),"")</f>
        <v/>
      </c>
      <c r="O34" s="11" t="str">
        <f>IF(TOE!$B34="Mek",IF($A34="","",O$1&amp;" "&amp;$C34&amp;" tons"),"")</f>
        <v/>
      </c>
      <c r="P34" s="11" t="str">
        <f>IF(TOE!$B34="Mek",IF($A34="","",P$1&amp;" "&amp;$C34&amp;" tons"),"")</f>
        <v/>
      </c>
    </row>
    <row r="35" spans="1:16" ht="49" customHeight="1" x14ac:dyDescent="0.2">
      <c r="A35" s="11" t="str">
        <f>IF(TOE!A35="","",TOE!A35)</f>
        <v>Partisan Heavy Tank</v>
      </c>
      <c r="B35" s="10" t="str">
        <f>IF(TOE!B35="","",TOE!B35)</f>
        <v>Tank</v>
      </c>
      <c r="C35" s="10">
        <f>IF(TOE!E35="","",TOE!E35)</f>
        <v>80</v>
      </c>
      <c r="D35" s="11" t="str">
        <f>IF(TOE!$B35="Mek",IF($A35="","",D$1&amp;" "&amp;$C35&amp;" tons"),"")</f>
        <v/>
      </c>
      <c r="E35" s="11" t="str">
        <f>IF(TOE!$B35="Mek",IF($A35="","",E$1&amp;" "&amp;$C35&amp;" tons"),"")</f>
        <v/>
      </c>
      <c r="F35" s="11" t="str">
        <f>IF(TOE!$B35="Mek",IF($A35="","",F$1&amp;" "&amp;$C35&amp;" tons"),"")</f>
        <v/>
      </c>
      <c r="G35" s="11" t="str">
        <f>IF(TOE!$B35="Mek",IF($A35="","",G$1&amp;" "&amp;$C35&amp;" tons"),"")</f>
        <v/>
      </c>
      <c r="H35" s="11" t="str">
        <f>IF(TOE!$B35="Mek",IF($A35="","",H$1&amp;" "&amp;$C35&amp;" tons"),"")</f>
        <v/>
      </c>
      <c r="I35" s="11" t="str">
        <f>IF(TOE!$B35="Mek",IF($A35="","",I$1&amp;" "&amp;$C35&amp;" tons"),"")</f>
        <v/>
      </c>
      <c r="J35" s="11" t="str">
        <f>IF(TOE!$B35="Mek",IF($A35="","",J$1&amp;" "&amp;$C35&amp;" tons"),"")</f>
        <v/>
      </c>
      <c r="K35" s="11" t="str">
        <f>IF(TOE!$B35="Mek",IF($A35="","",K$1&amp;" "&amp;$C35&amp;" tons"),"")</f>
        <v/>
      </c>
      <c r="L35" s="11" t="str">
        <f>IF(TOE!$B35="Mek",IF($A35="","",L$1&amp;" "&amp;$C35&amp;" tons"),"")</f>
        <v/>
      </c>
      <c r="M35" s="11" t="str">
        <f>IF(TOE!$B35="Mek",IF($A35="","",M$1&amp;" "&amp;$C35&amp;" tons"),"")</f>
        <v/>
      </c>
      <c r="N35" s="11" t="str">
        <f>IF(TOE!$B35="Mek",IF($A35="","",N$1&amp;" "&amp;$C35&amp;" tons"),"")</f>
        <v/>
      </c>
      <c r="O35" s="11" t="str">
        <f>IF(TOE!$B35="Mek",IF($A35="","",O$1&amp;" "&amp;$C35&amp;" tons"),"")</f>
        <v/>
      </c>
      <c r="P35" s="11" t="str">
        <f>IF(TOE!$B35="Mek",IF($A35="","",P$1&amp;" "&amp;$C35&amp;" tons"),"")</f>
        <v/>
      </c>
    </row>
    <row r="36" spans="1:16" ht="49" customHeight="1" x14ac:dyDescent="0.2">
      <c r="A36" s="11" t="str">
        <f>IF(TOE!A36="","",TOE!A36)</f>
        <v>Partisan Heavy Tank #2</v>
      </c>
      <c r="B36" s="10" t="str">
        <f>IF(TOE!B36="","",TOE!B36)</f>
        <v>Tank</v>
      </c>
      <c r="C36" s="10">
        <f>IF(TOE!E36="","",TOE!E36)</f>
        <v>80</v>
      </c>
      <c r="D36" s="11" t="str">
        <f>IF(TOE!$B36="Mek",IF($A36="","",D$1&amp;" "&amp;$C36&amp;" tons"),"")</f>
        <v/>
      </c>
      <c r="E36" s="11" t="str">
        <f>IF(TOE!$B36="Mek",IF($A36="","",E$1&amp;" "&amp;$C36&amp;" tons"),"")</f>
        <v/>
      </c>
      <c r="F36" s="11" t="str">
        <f>IF(TOE!$B36="Mek",IF($A36="","",F$1&amp;" "&amp;$C36&amp;" tons"),"")</f>
        <v/>
      </c>
      <c r="G36" s="11" t="str">
        <f>IF(TOE!$B36="Mek",IF($A36="","",G$1&amp;" "&amp;$C36&amp;" tons"),"")</f>
        <v/>
      </c>
      <c r="H36" s="11" t="str">
        <f>IF(TOE!$B36="Mek",IF($A36="","",H$1&amp;" "&amp;$C36&amp;" tons"),"")</f>
        <v/>
      </c>
      <c r="I36" s="11" t="str">
        <f>IF(TOE!$B36="Mek",IF($A36="","",I$1&amp;" "&amp;$C36&amp;" tons"),"")</f>
        <v/>
      </c>
      <c r="J36" s="11" t="str">
        <f>IF(TOE!$B36="Mek",IF($A36="","",J$1&amp;" "&amp;$C36&amp;" tons"),"")</f>
        <v/>
      </c>
      <c r="K36" s="11" t="str">
        <f>IF(TOE!$B36="Mek",IF($A36="","",K$1&amp;" "&amp;$C36&amp;" tons"),"")</f>
        <v/>
      </c>
      <c r="L36" s="11" t="str">
        <f>IF(TOE!$B36="Mek",IF($A36="","",L$1&amp;" "&amp;$C36&amp;" tons"),"")</f>
        <v/>
      </c>
      <c r="M36" s="11" t="str">
        <f>IF(TOE!$B36="Mek",IF($A36="","",M$1&amp;" "&amp;$C36&amp;" tons"),"")</f>
        <v/>
      </c>
      <c r="N36" s="11" t="str">
        <f>IF(TOE!$B36="Mek",IF($A36="","",N$1&amp;" "&amp;$C36&amp;" tons"),"")</f>
        <v/>
      </c>
      <c r="O36" s="11" t="str">
        <f>IF(TOE!$B36="Mek",IF($A36="","",O$1&amp;" "&amp;$C36&amp;" tons"),"")</f>
        <v/>
      </c>
      <c r="P36" s="11" t="str">
        <f>IF(TOE!$B36="Mek",IF($A36="","",P$1&amp;" "&amp;$C36&amp;" tons"),"")</f>
        <v/>
      </c>
    </row>
    <row r="37" spans="1:16" ht="49" customHeight="1" x14ac:dyDescent="0.2">
      <c r="A37" s="11" t="str">
        <f>IF(TOE!A37="","",TOE!A37)</f>
        <v>Partisan Heavy Tank #3</v>
      </c>
      <c r="B37" s="10" t="str">
        <f>IF(TOE!B37="","",TOE!B37)</f>
        <v>Tank</v>
      </c>
      <c r="C37" s="10">
        <f>IF(TOE!E37="","",TOE!E37)</f>
        <v>80</v>
      </c>
      <c r="D37" s="11" t="str">
        <f>IF(TOE!$B37="Mek",IF($A37="","",D$1&amp;" "&amp;$C37&amp;" tons"),"")</f>
        <v/>
      </c>
      <c r="E37" s="11" t="str">
        <f>IF(TOE!$B37="Mek",IF($A37="","",E$1&amp;" "&amp;$C37&amp;" tons"),"")</f>
        <v/>
      </c>
      <c r="F37" s="11" t="str">
        <f>IF(TOE!$B37="Mek",IF($A37="","",F$1&amp;" "&amp;$C37&amp;" tons"),"")</f>
        <v/>
      </c>
      <c r="G37" s="11" t="str">
        <f>IF(TOE!$B37="Mek",IF($A37="","",G$1&amp;" "&amp;$C37&amp;" tons"),"")</f>
        <v/>
      </c>
      <c r="H37" s="11" t="str">
        <f>IF(TOE!$B37="Mek",IF($A37="","",H$1&amp;" "&amp;$C37&amp;" tons"),"")</f>
        <v/>
      </c>
      <c r="I37" s="11" t="str">
        <f>IF(TOE!$B37="Mek",IF($A37="","",I$1&amp;" "&amp;$C37&amp;" tons"),"")</f>
        <v/>
      </c>
      <c r="J37" s="11" t="str">
        <f>IF(TOE!$B37="Mek",IF($A37="","",J$1&amp;" "&amp;$C37&amp;" tons"),"")</f>
        <v/>
      </c>
      <c r="K37" s="11" t="str">
        <f>IF(TOE!$B37="Mek",IF($A37="","",K$1&amp;" "&amp;$C37&amp;" tons"),"")</f>
        <v/>
      </c>
      <c r="L37" s="11" t="str">
        <f>IF(TOE!$B37="Mek",IF($A37="","",L$1&amp;" "&amp;$C37&amp;" tons"),"")</f>
        <v/>
      </c>
      <c r="M37" s="11" t="str">
        <f>IF(TOE!$B37="Mek",IF($A37="","",M$1&amp;" "&amp;$C37&amp;" tons"),"")</f>
        <v/>
      </c>
      <c r="N37" s="11" t="str">
        <f>IF(TOE!$B37="Mek",IF($A37="","",N$1&amp;" "&amp;$C37&amp;" tons"),"")</f>
        <v/>
      </c>
      <c r="O37" s="11" t="str">
        <f>IF(TOE!$B37="Mek",IF($A37="","",O$1&amp;" "&amp;$C37&amp;" tons"),"")</f>
        <v/>
      </c>
      <c r="P37" s="11" t="str">
        <f>IF(TOE!$B37="Mek",IF($A37="","",P$1&amp;" "&amp;$C37&amp;" tons"),"")</f>
        <v/>
      </c>
    </row>
    <row r="38" spans="1:16" ht="49" customHeight="1" x14ac:dyDescent="0.2">
      <c r="A38" s="11" t="str">
        <f>IF(TOE!A38="","",TOE!A38)</f>
        <v>Maxim Heavy Hover Transport</v>
      </c>
      <c r="B38" s="10" t="str">
        <f>IF(TOE!B38="","",TOE!B38)</f>
        <v>Tank</v>
      </c>
      <c r="C38" s="10">
        <f>IF(TOE!E38="","",TOE!E38)</f>
        <v>50</v>
      </c>
      <c r="D38" s="11" t="str">
        <f>IF(TOE!$B38="Mek",IF($A38="","",D$1&amp;" "&amp;$C38&amp;" tons"),"")</f>
        <v/>
      </c>
      <c r="E38" s="11" t="str">
        <f>IF(TOE!$B38="Mek",IF($A38="","",E$1&amp;" "&amp;$C38&amp;" tons"),"")</f>
        <v/>
      </c>
      <c r="F38" s="11" t="str">
        <f>IF(TOE!$B38="Mek",IF($A38="","",F$1&amp;" "&amp;$C38&amp;" tons"),"")</f>
        <v/>
      </c>
      <c r="G38" s="11" t="str">
        <f>IF(TOE!$B38="Mek",IF($A38="","",G$1&amp;" "&amp;$C38&amp;" tons"),"")</f>
        <v/>
      </c>
      <c r="H38" s="11" t="str">
        <f>IF(TOE!$B38="Mek",IF($A38="","",H$1&amp;" "&amp;$C38&amp;" tons"),"")</f>
        <v/>
      </c>
      <c r="I38" s="11" t="str">
        <f>IF(TOE!$B38="Mek",IF($A38="","",I$1&amp;" "&amp;$C38&amp;" tons"),"")</f>
        <v/>
      </c>
      <c r="J38" s="11" t="str">
        <f>IF(TOE!$B38="Mek",IF($A38="","",J$1&amp;" "&amp;$C38&amp;" tons"),"")</f>
        <v/>
      </c>
      <c r="K38" s="11" t="str">
        <f>IF(TOE!$B38="Mek",IF($A38="","",K$1&amp;" "&amp;$C38&amp;" tons"),"")</f>
        <v/>
      </c>
      <c r="L38" s="11" t="str">
        <f>IF(TOE!$B38="Mek",IF($A38="","",L$1&amp;" "&amp;$C38&amp;" tons"),"")</f>
        <v/>
      </c>
      <c r="M38" s="11" t="str">
        <f>IF(TOE!$B38="Mek",IF($A38="","",M$1&amp;" "&amp;$C38&amp;" tons"),"")</f>
        <v/>
      </c>
      <c r="N38" s="11" t="str">
        <f>IF(TOE!$B38="Mek",IF($A38="","",N$1&amp;" "&amp;$C38&amp;" tons"),"")</f>
        <v/>
      </c>
      <c r="O38" s="11" t="str">
        <f>IF(TOE!$B38="Mek",IF($A38="","",O$1&amp;" "&amp;$C38&amp;" tons"),"")</f>
        <v/>
      </c>
      <c r="P38" s="11" t="str">
        <f>IF(TOE!$B38="Mek",IF($A38="","",P$1&amp;" "&amp;$C38&amp;" tons"),"")</f>
        <v/>
      </c>
    </row>
    <row r="39" spans="1:16" ht="49" customHeight="1" x14ac:dyDescent="0.2">
      <c r="A39" s="11" t="str">
        <f>IF(TOE!A39="","",TOE!A39)</f>
        <v>Pegasus Scout Hover Tank</v>
      </c>
      <c r="B39" s="10" t="str">
        <f>IF(TOE!B39="","",TOE!B39)</f>
        <v>Tank</v>
      </c>
      <c r="C39" s="10">
        <f>IF(TOE!E39="","",TOE!E39)</f>
        <v>35</v>
      </c>
      <c r="D39" s="11" t="str">
        <f>IF(TOE!$B39="Mek",IF($A39="","",D$1&amp;" "&amp;$C39&amp;" tons"),"")</f>
        <v/>
      </c>
      <c r="E39" s="11" t="str">
        <f>IF(TOE!$B39="Mek",IF($A39="","",E$1&amp;" "&amp;$C39&amp;" tons"),"")</f>
        <v/>
      </c>
      <c r="F39" s="11" t="str">
        <f>IF(TOE!$B39="Mek",IF($A39="","",F$1&amp;" "&amp;$C39&amp;" tons"),"")</f>
        <v/>
      </c>
      <c r="G39" s="11" t="str">
        <f>IF(TOE!$B39="Mek",IF($A39="","",G$1&amp;" "&amp;$C39&amp;" tons"),"")</f>
        <v/>
      </c>
      <c r="H39" s="11" t="str">
        <f>IF(TOE!$B39="Mek",IF($A39="","",H$1&amp;" "&amp;$C39&amp;" tons"),"")</f>
        <v/>
      </c>
      <c r="I39" s="11" t="str">
        <f>IF(TOE!$B39="Mek",IF($A39="","",I$1&amp;" "&amp;$C39&amp;" tons"),"")</f>
        <v/>
      </c>
      <c r="J39" s="11" t="str">
        <f>IF(TOE!$B39="Mek",IF($A39="","",J$1&amp;" "&amp;$C39&amp;" tons"),"")</f>
        <v/>
      </c>
      <c r="K39" s="11" t="str">
        <f>IF(TOE!$B39="Mek",IF($A39="","",K$1&amp;" "&amp;$C39&amp;" tons"),"")</f>
        <v/>
      </c>
      <c r="L39" s="11" t="str">
        <f>IF(TOE!$B39="Mek",IF($A39="","",L$1&amp;" "&amp;$C39&amp;" tons"),"")</f>
        <v/>
      </c>
      <c r="M39" s="11" t="str">
        <f>IF(TOE!$B39="Mek",IF($A39="","",M$1&amp;" "&amp;$C39&amp;" tons"),"")</f>
        <v/>
      </c>
      <c r="N39" s="11" t="str">
        <f>IF(TOE!$B39="Mek",IF($A39="","",N$1&amp;" "&amp;$C39&amp;" tons"),"")</f>
        <v/>
      </c>
      <c r="O39" s="11" t="str">
        <f>IF(TOE!$B39="Mek",IF($A39="","",O$1&amp;" "&amp;$C39&amp;" tons"),"")</f>
        <v/>
      </c>
      <c r="P39" s="11" t="str">
        <f>IF(TOE!$B39="Mek",IF($A39="","",P$1&amp;" "&amp;$C39&amp;" tons"),"")</f>
        <v/>
      </c>
    </row>
    <row r="40" spans="1:16" ht="49" customHeight="1" x14ac:dyDescent="0.2">
      <c r="A40" s="11" t="str">
        <f>IF(TOE!A40="","",TOE!A40)</f>
        <v>Manticore Heavy Tank</v>
      </c>
      <c r="B40" s="10" t="str">
        <f>IF(TOE!B40="","",TOE!B40)</f>
        <v>Tank</v>
      </c>
      <c r="C40" s="10">
        <f>IF(TOE!E40="","",TOE!E40)</f>
        <v>60</v>
      </c>
      <c r="D40" s="11" t="str">
        <f>IF(TOE!$B40="Mek",IF($A40="","",D$1&amp;" "&amp;$C40&amp;" tons"),"")</f>
        <v/>
      </c>
      <c r="E40" s="11" t="str">
        <f>IF(TOE!$B40="Mek",IF($A40="","",E$1&amp;" "&amp;$C40&amp;" tons"),"")</f>
        <v/>
      </c>
      <c r="F40" s="11" t="str">
        <f>IF(TOE!$B40="Mek",IF($A40="","",F$1&amp;" "&amp;$C40&amp;" tons"),"")</f>
        <v/>
      </c>
      <c r="G40" s="11" t="str">
        <f>IF(TOE!$B40="Mek",IF($A40="","",G$1&amp;" "&amp;$C40&amp;" tons"),"")</f>
        <v/>
      </c>
      <c r="H40" s="11" t="str">
        <f>IF(TOE!$B40="Mek",IF($A40="","",H$1&amp;" "&amp;$C40&amp;" tons"),"")</f>
        <v/>
      </c>
      <c r="I40" s="11" t="str">
        <f>IF(TOE!$B40="Mek",IF($A40="","",I$1&amp;" "&amp;$C40&amp;" tons"),"")</f>
        <v/>
      </c>
      <c r="J40" s="11" t="str">
        <f>IF(TOE!$B40="Mek",IF($A40="","",J$1&amp;" "&amp;$C40&amp;" tons"),"")</f>
        <v/>
      </c>
      <c r="K40" s="11" t="str">
        <f>IF(TOE!$B40="Mek",IF($A40="","",K$1&amp;" "&amp;$C40&amp;" tons"),"")</f>
        <v/>
      </c>
      <c r="L40" s="11" t="str">
        <f>IF(TOE!$B40="Mek",IF($A40="","",L$1&amp;" "&amp;$C40&amp;" tons"),"")</f>
        <v/>
      </c>
      <c r="M40" s="11" t="str">
        <f>IF(TOE!$B40="Mek",IF($A40="","",M$1&amp;" "&amp;$C40&amp;" tons"),"")</f>
        <v/>
      </c>
      <c r="N40" s="11" t="str">
        <f>IF(TOE!$B40="Mek",IF($A40="","",N$1&amp;" "&amp;$C40&amp;" tons"),"")</f>
        <v/>
      </c>
      <c r="O40" s="11" t="str">
        <f>IF(TOE!$B40="Mek",IF($A40="","",O$1&amp;" "&amp;$C40&amp;" tons"),"")</f>
        <v/>
      </c>
      <c r="P40" s="11" t="str">
        <f>IF(TOE!$B40="Mek",IF($A40="","",P$1&amp;" "&amp;$C40&amp;" tons"),"")</f>
        <v/>
      </c>
    </row>
    <row r="41" spans="1:16" ht="49" customHeight="1" x14ac:dyDescent="0.2">
      <c r="A41" s="11" t="str">
        <f>IF(TOE!A41="","",TOE!A41)</f>
        <v>Partisan Heavy Tank (LRM)</v>
      </c>
      <c r="B41" s="10" t="str">
        <f>IF(TOE!B41="","",TOE!B41)</f>
        <v>Tank</v>
      </c>
      <c r="C41" s="10">
        <f>IF(TOE!E41="","",TOE!E41)</f>
        <v>80</v>
      </c>
      <c r="D41" s="11" t="str">
        <f>IF(TOE!$B41="Mek",IF($A41="","",D$1&amp;" "&amp;$C41&amp;" tons"),"")</f>
        <v/>
      </c>
      <c r="E41" s="11" t="str">
        <f>IF(TOE!$B41="Mek",IF($A41="","",E$1&amp;" "&amp;$C41&amp;" tons"),"")</f>
        <v/>
      </c>
      <c r="F41" s="11" t="str">
        <f>IF(TOE!$B41="Mek",IF($A41="","",F$1&amp;" "&amp;$C41&amp;" tons"),"")</f>
        <v/>
      </c>
      <c r="G41" s="11" t="str">
        <f>IF(TOE!$B41="Mek",IF($A41="","",G$1&amp;" "&amp;$C41&amp;" tons"),"")</f>
        <v/>
      </c>
      <c r="H41" s="11" t="str">
        <f>IF(TOE!$B41="Mek",IF($A41="","",H$1&amp;" "&amp;$C41&amp;" tons"),"")</f>
        <v/>
      </c>
      <c r="I41" s="11" t="str">
        <f>IF(TOE!$B41="Mek",IF($A41="","",I$1&amp;" "&amp;$C41&amp;" tons"),"")</f>
        <v/>
      </c>
      <c r="J41" s="11" t="str">
        <f>IF(TOE!$B41="Mek",IF($A41="","",J$1&amp;" "&amp;$C41&amp;" tons"),"")</f>
        <v/>
      </c>
      <c r="K41" s="11" t="str">
        <f>IF(TOE!$B41="Mek",IF($A41="","",K$1&amp;" "&amp;$C41&amp;" tons"),"")</f>
        <v/>
      </c>
      <c r="L41" s="11" t="str">
        <f>IF(TOE!$B41="Mek",IF($A41="","",L$1&amp;" "&amp;$C41&amp;" tons"),"")</f>
        <v/>
      </c>
      <c r="M41" s="11" t="str">
        <f>IF(TOE!$B41="Mek",IF($A41="","",M$1&amp;" "&amp;$C41&amp;" tons"),"")</f>
        <v/>
      </c>
      <c r="N41" s="11" t="str">
        <f>IF(TOE!$B41="Mek",IF($A41="","",N$1&amp;" "&amp;$C41&amp;" tons"),"")</f>
        <v/>
      </c>
      <c r="O41" s="11" t="str">
        <f>IF(TOE!$B41="Mek",IF($A41="","",O$1&amp;" "&amp;$C41&amp;" tons"),"")</f>
        <v/>
      </c>
      <c r="P41" s="11" t="str">
        <f>IF(TOE!$B41="Mek",IF($A41="","",P$1&amp;" "&amp;$C41&amp;" tons"),"")</f>
        <v/>
      </c>
    </row>
    <row r="42" spans="1:16" ht="49" customHeight="1" x14ac:dyDescent="0.2">
      <c r="A42" s="11" t="str">
        <f>IF(TOE!A42="","",TOE!A42)</f>
        <v>Mobile Long Tom Artillery LT-MOB-25</v>
      </c>
      <c r="B42" s="10" t="str">
        <f>IF(TOE!B42="","",TOE!B42)</f>
        <v>Tank</v>
      </c>
      <c r="C42" s="10">
        <f>IF(TOE!E42="","",TOE!E42)</f>
        <v>75</v>
      </c>
      <c r="D42" s="11" t="str">
        <f>IF(TOE!$B42="Mek",IF($A42="","",D$1&amp;" "&amp;$C42&amp;" tons"),"")</f>
        <v/>
      </c>
      <c r="E42" s="11" t="str">
        <f>IF(TOE!$B42="Mek",IF($A42="","",E$1&amp;" "&amp;$C42&amp;" tons"),"")</f>
        <v/>
      </c>
      <c r="F42" s="11" t="str">
        <f>IF(TOE!$B42="Mek",IF($A42="","",F$1&amp;" "&amp;$C42&amp;" tons"),"")</f>
        <v/>
      </c>
      <c r="G42" s="11" t="str">
        <f>IF(TOE!$B42="Mek",IF($A42="","",G$1&amp;" "&amp;$C42&amp;" tons"),"")</f>
        <v/>
      </c>
      <c r="H42" s="11" t="str">
        <f>IF(TOE!$B42="Mek",IF($A42="","",H$1&amp;" "&amp;$C42&amp;" tons"),"")</f>
        <v/>
      </c>
      <c r="I42" s="11" t="str">
        <f>IF(TOE!$B42="Mek",IF($A42="","",I$1&amp;" "&amp;$C42&amp;" tons"),"")</f>
        <v/>
      </c>
      <c r="J42" s="11" t="str">
        <f>IF(TOE!$B42="Mek",IF($A42="","",J$1&amp;" "&amp;$C42&amp;" tons"),"")</f>
        <v/>
      </c>
      <c r="K42" s="11" t="str">
        <f>IF(TOE!$B42="Mek",IF($A42="","",K$1&amp;" "&amp;$C42&amp;" tons"),"")</f>
        <v/>
      </c>
      <c r="L42" s="11" t="str">
        <f>IF(TOE!$B42="Mek",IF($A42="","",L$1&amp;" "&amp;$C42&amp;" tons"),"")</f>
        <v/>
      </c>
      <c r="M42" s="11" t="str">
        <f>IF(TOE!$B42="Mek",IF($A42="","",M$1&amp;" "&amp;$C42&amp;" tons"),"")</f>
        <v/>
      </c>
      <c r="N42" s="11" t="str">
        <f>IF(TOE!$B42="Mek",IF($A42="","",N$1&amp;" "&amp;$C42&amp;" tons"),"")</f>
        <v/>
      </c>
      <c r="O42" s="11" t="str">
        <f>IF(TOE!$B42="Mek",IF($A42="","",O$1&amp;" "&amp;$C42&amp;" tons"),"")</f>
        <v/>
      </c>
      <c r="P42" s="11" t="str">
        <f>IF(TOE!$B42="Mek",IF($A42="","",P$1&amp;" "&amp;$C42&amp;" tons"),"")</f>
        <v/>
      </c>
    </row>
    <row r="43" spans="1:16" ht="49" customHeight="1" x14ac:dyDescent="0.2">
      <c r="A43" s="11" t="str">
        <f>IF(TOE!A43="","",TOE!A43)</f>
        <v>Mobile Long Tom Artillery LT-MOB-25 (Ammunition Carriage)</v>
      </c>
      <c r="B43" s="10" t="str">
        <f>IF(TOE!B43="","",TOE!B43)</f>
        <v>Tank</v>
      </c>
      <c r="C43" s="10">
        <f>IF(TOE!E43="","",TOE!E43)</f>
        <v>10</v>
      </c>
      <c r="D43" s="11" t="str">
        <f>IF(TOE!$B43="Mek",IF($A43="","",D$1&amp;" "&amp;$C43&amp;" tons"),"")</f>
        <v/>
      </c>
      <c r="E43" s="11" t="str">
        <f>IF(TOE!$B43="Mek",IF($A43="","",E$1&amp;" "&amp;$C43&amp;" tons"),"")</f>
        <v/>
      </c>
      <c r="F43" s="11" t="str">
        <f>IF(TOE!$B43="Mek",IF($A43="","",F$1&amp;" "&amp;$C43&amp;" tons"),"")</f>
        <v/>
      </c>
      <c r="G43" s="11" t="str">
        <f>IF(TOE!$B43="Mek",IF($A43="","",G$1&amp;" "&amp;$C43&amp;" tons"),"")</f>
        <v/>
      </c>
      <c r="H43" s="11" t="str">
        <f>IF(TOE!$B43="Mek",IF($A43="","",H$1&amp;" "&amp;$C43&amp;" tons"),"")</f>
        <v/>
      </c>
      <c r="I43" s="11" t="str">
        <f>IF(TOE!$B43="Mek",IF($A43="","",I$1&amp;" "&amp;$C43&amp;" tons"),"")</f>
        <v/>
      </c>
      <c r="J43" s="11" t="str">
        <f>IF(TOE!$B43="Mek",IF($A43="","",J$1&amp;" "&amp;$C43&amp;" tons"),"")</f>
        <v/>
      </c>
      <c r="K43" s="11" t="str">
        <f>IF(TOE!$B43="Mek",IF($A43="","",K$1&amp;" "&amp;$C43&amp;" tons"),"")</f>
        <v/>
      </c>
      <c r="L43" s="11" t="str">
        <f>IF(TOE!$B43="Mek",IF($A43="","",L$1&amp;" "&amp;$C43&amp;" tons"),"")</f>
        <v/>
      </c>
      <c r="M43" s="11" t="str">
        <f>IF(TOE!$B43="Mek",IF($A43="","",M$1&amp;" "&amp;$C43&amp;" tons"),"")</f>
        <v/>
      </c>
      <c r="N43" s="11" t="str">
        <f>IF(TOE!$B43="Mek",IF($A43="","",N$1&amp;" "&amp;$C43&amp;" tons"),"")</f>
        <v/>
      </c>
      <c r="O43" s="11" t="str">
        <f>IF(TOE!$B43="Mek",IF($A43="","",O$1&amp;" "&amp;$C43&amp;" tons"),"")</f>
        <v/>
      </c>
      <c r="P43" s="11" t="str">
        <f>IF(TOE!$B43="Mek",IF($A43="","",P$1&amp;" "&amp;$C43&amp;" tons"),"")</f>
        <v/>
      </c>
    </row>
    <row r="44" spans="1:16" ht="49" customHeight="1" x14ac:dyDescent="0.2">
      <c r="A44" s="11" t="str">
        <f>IF(TOE!A44="","",TOE!A44)</f>
        <v>Mobile Long Tom Artillery LT-MOB-25 (Support Carriage)</v>
      </c>
      <c r="B44" s="10" t="str">
        <f>IF(TOE!B44="","",TOE!B44)</f>
        <v>Tank</v>
      </c>
      <c r="C44" s="10">
        <f>IF(TOE!E44="","",TOE!E44)</f>
        <v>10</v>
      </c>
      <c r="D44" s="11" t="str">
        <f>IF(TOE!$B44="Mek",IF($A44="","",D$1&amp;" "&amp;$C44&amp;" tons"),"")</f>
        <v/>
      </c>
      <c r="E44" s="11" t="str">
        <f>IF(TOE!$B44="Mek",IF($A44="","",E$1&amp;" "&amp;$C44&amp;" tons"),"")</f>
        <v/>
      </c>
      <c r="F44" s="11" t="str">
        <f>IF(TOE!$B44="Mek",IF($A44="","",F$1&amp;" "&amp;$C44&amp;" tons"),"")</f>
        <v/>
      </c>
      <c r="G44" s="11" t="str">
        <f>IF(TOE!$B44="Mek",IF($A44="","",G$1&amp;" "&amp;$C44&amp;" tons"),"")</f>
        <v/>
      </c>
      <c r="H44" s="11" t="str">
        <f>IF(TOE!$B44="Mek",IF($A44="","",H$1&amp;" "&amp;$C44&amp;" tons"),"")</f>
        <v/>
      </c>
      <c r="I44" s="11" t="str">
        <f>IF(TOE!$B44="Mek",IF($A44="","",I$1&amp;" "&amp;$C44&amp;" tons"),"")</f>
        <v/>
      </c>
      <c r="J44" s="11" t="str">
        <f>IF(TOE!$B44="Mek",IF($A44="","",J$1&amp;" "&amp;$C44&amp;" tons"),"")</f>
        <v/>
      </c>
      <c r="K44" s="11" t="str">
        <f>IF(TOE!$B44="Mek",IF($A44="","",K$1&amp;" "&amp;$C44&amp;" tons"),"")</f>
        <v/>
      </c>
      <c r="L44" s="11" t="str">
        <f>IF(TOE!$B44="Mek",IF($A44="","",L$1&amp;" "&amp;$C44&amp;" tons"),"")</f>
        <v/>
      </c>
      <c r="M44" s="11" t="str">
        <f>IF(TOE!$B44="Mek",IF($A44="","",M$1&amp;" "&amp;$C44&amp;" tons"),"")</f>
        <v/>
      </c>
      <c r="N44" s="11" t="str">
        <f>IF(TOE!$B44="Mek",IF($A44="","",N$1&amp;" "&amp;$C44&amp;" tons"),"")</f>
        <v/>
      </c>
      <c r="O44" s="11" t="str">
        <f>IF(TOE!$B44="Mek",IF($A44="","",O$1&amp;" "&amp;$C44&amp;" tons"),"")</f>
        <v/>
      </c>
      <c r="P44" s="11" t="str">
        <f>IF(TOE!$B44="Mek",IF($A44="","",P$1&amp;" "&amp;$C44&amp;" tons"),"")</f>
        <v/>
      </c>
    </row>
    <row r="45" spans="1:16" ht="49" customHeight="1" x14ac:dyDescent="0.2">
      <c r="A45" s="11" t="str">
        <f>IF(TOE!A45="","",TOE!A45)</f>
        <v>Maxim Heavy Hover Transport (SRM4)</v>
      </c>
      <c r="B45" s="10" t="str">
        <f>IF(TOE!B45="","",TOE!B45)</f>
        <v>Tank</v>
      </c>
      <c r="C45" s="10">
        <f>IF(TOE!E45="","",TOE!E45)</f>
        <v>50</v>
      </c>
      <c r="D45" s="11" t="str">
        <f>IF(TOE!$B45="Mek",IF($A45="","",D$1&amp;" "&amp;$C45&amp;" tons"),"")</f>
        <v/>
      </c>
      <c r="E45" s="11" t="str">
        <f>IF(TOE!$B45="Mek",IF($A45="","",E$1&amp;" "&amp;$C45&amp;" tons"),"")</f>
        <v/>
      </c>
      <c r="F45" s="11" t="str">
        <f>IF(TOE!$B45="Mek",IF($A45="","",F$1&amp;" "&amp;$C45&amp;" tons"),"")</f>
        <v/>
      </c>
      <c r="G45" s="11" t="str">
        <f>IF(TOE!$B45="Mek",IF($A45="","",G$1&amp;" "&amp;$C45&amp;" tons"),"")</f>
        <v/>
      </c>
      <c r="H45" s="11" t="str">
        <f>IF(TOE!$B45="Mek",IF($A45="","",H$1&amp;" "&amp;$C45&amp;" tons"),"")</f>
        <v/>
      </c>
      <c r="I45" s="11" t="str">
        <f>IF(TOE!$B45="Mek",IF($A45="","",I$1&amp;" "&amp;$C45&amp;" tons"),"")</f>
        <v/>
      </c>
      <c r="J45" s="11" t="str">
        <f>IF(TOE!$B45="Mek",IF($A45="","",J$1&amp;" "&amp;$C45&amp;" tons"),"")</f>
        <v/>
      </c>
      <c r="K45" s="11" t="str">
        <f>IF(TOE!$B45="Mek",IF($A45="","",K$1&amp;" "&amp;$C45&amp;" tons"),"")</f>
        <v/>
      </c>
      <c r="L45" s="11" t="str">
        <f>IF(TOE!$B45="Mek",IF($A45="","",L$1&amp;" "&amp;$C45&amp;" tons"),"")</f>
        <v/>
      </c>
      <c r="M45" s="11" t="str">
        <f>IF(TOE!$B45="Mek",IF($A45="","",M$1&amp;" "&amp;$C45&amp;" tons"),"")</f>
        <v/>
      </c>
      <c r="N45" s="11" t="str">
        <f>IF(TOE!$B45="Mek",IF($A45="","",N$1&amp;" "&amp;$C45&amp;" tons"),"")</f>
        <v/>
      </c>
      <c r="O45" s="11" t="str">
        <f>IF(TOE!$B45="Mek",IF($A45="","",O$1&amp;" "&amp;$C45&amp;" tons"),"")</f>
        <v/>
      </c>
      <c r="P45" s="11" t="str">
        <f>IF(TOE!$B45="Mek",IF($A45="","",P$1&amp;" "&amp;$C45&amp;" tons"),"")</f>
        <v/>
      </c>
    </row>
    <row r="46" spans="1:16" ht="49" customHeight="1" x14ac:dyDescent="0.2">
      <c r="A46" s="11" t="str">
        <f>IF(TOE!A46="","",TOE!A46)</f>
        <v>Maxim Heavy Hover Transport #2</v>
      </c>
      <c r="B46" s="10" t="str">
        <f>IF(TOE!B46="","",TOE!B46)</f>
        <v>Tank</v>
      </c>
      <c r="C46" s="10">
        <f>IF(TOE!E46="","",TOE!E46)</f>
        <v>50</v>
      </c>
      <c r="D46" s="11" t="str">
        <f>IF(TOE!$B46="Mek",IF($A46="","",D$1&amp;" "&amp;$C46&amp;" tons"),"")</f>
        <v/>
      </c>
      <c r="E46" s="11" t="str">
        <f>IF(TOE!$B46="Mek",IF($A46="","",E$1&amp;" "&amp;$C46&amp;" tons"),"")</f>
        <v/>
      </c>
      <c r="F46" s="11" t="str">
        <f>IF(TOE!$B46="Mek",IF($A46="","",F$1&amp;" "&amp;$C46&amp;" tons"),"")</f>
        <v/>
      </c>
      <c r="G46" s="11" t="str">
        <f>IF(TOE!$B46="Mek",IF($A46="","",G$1&amp;" "&amp;$C46&amp;" tons"),"")</f>
        <v/>
      </c>
      <c r="H46" s="11" t="str">
        <f>IF(TOE!$B46="Mek",IF($A46="","",H$1&amp;" "&amp;$C46&amp;" tons"),"")</f>
        <v/>
      </c>
      <c r="I46" s="11" t="str">
        <f>IF(TOE!$B46="Mek",IF($A46="","",I$1&amp;" "&amp;$C46&amp;" tons"),"")</f>
        <v/>
      </c>
      <c r="J46" s="11" t="str">
        <f>IF(TOE!$B46="Mek",IF($A46="","",J$1&amp;" "&amp;$C46&amp;" tons"),"")</f>
        <v/>
      </c>
      <c r="K46" s="11" t="str">
        <f>IF(TOE!$B46="Mek",IF($A46="","",K$1&amp;" "&amp;$C46&amp;" tons"),"")</f>
        <v/>
      </c>
      <c r="L46" s="11" t="str">
        <f>IF(TOE!$B46="Mek",IF($A46="","",L$1&amp;" "&amp;$C46&amp;" tons"),"")</f>
        <v/>
      </c>
      <c r="M46" s="11" t="str">
        <f>IF(TOE!$B46="Mek",IF($A46="","",M$1&amp;" "&amp;$C46&amp;" tons"),"")</f>
        <v/>
      </c>
      <c r="N46" s="11" t="str">
        <f>IF(TOE!$B46="Mek",IF($A46="","",N$1&amp;" "&amp;$C46&amp;" tons"),"")</f>
        <v/>
      </c>
      <c r="O46" s="11" t="str">
        <f>IF(TOE!$B46="Mek",IF($A46="","",O$1&amp;" "&amp;$C46&amp;" tons"),"")</f>
        <v/>
      </c>
      <c r="P46" s="11" t="str">
        <f>IF(TOE!$B46="Mek",IF($A46="","",P$1&amp;" "&amp;$C46&amp;" tons"),"")</f>
        <v/>
      </c>
    </row>
    <row r="47" spans="1:16" ht="49" customHeight="1" x14ac:dyDescent="0.2">
      <c r="A47" s="11" t="str">
        <f>IF(TOE!A47="","",TOE!A47)</f>
        <v>LRM Carrier</v>
      </c>
      <c r="B47" s="10" t="str">
        <f>IF(TOE!B47="","",TOE!B47)</f>
        <v>Tank</v>
      </c>
      <c r="C47" s="10">
        <f>IF(TOE!E47="","",TOE!E47)</f>
        <v>60</v>
      </c>
      <c r="D47" s="11" t="str">
        <f>IF(TOE!$B47="Mek",IF($A47="","",D$1&amp;" "&amp;$C47&amp;" tons"),"")</f>
        <v/>
      </c>
      <c r="E47" s="11" t="str">
        <f>IF(TOE!$B47="Mek",IF($A47="","",E$1&amp;" "&amp;$C47&amp;" tons"),"")</f>
        <v/>
      </c>
      <c r="F47" s="11" t="str">
        <f>IF(TOE!$B47="Mek",IF($A47="","",F$1&amp;" "&amp;$C47&amp;" tons"),"")</f>
        <v/>
      </c>
      <c r="G47" s="11" t="str">
        <f>IF(TOE!$B47="Mek",IF($A47="","",G$1&amp;" "&amp;$C47&amp;" tons"),"")</f>
        <v/>
      </c>
      <c r="H47" s="11" t="str">
        <f>IF(TOE!$B47="Mek",IF($A47="","",H$1&amp;" "&amp;$C47&amp;" tons"),"")</f>
        <v/>
      </c>
      <c r="I47" s="11" t="str">
        <f>IF(TOE!$B47="Mek",IF($A47="","",I$1&amp;" "&amp;$C47&amp;" tons"),"")</f>
        <v/>
      </c>
      <c r="J47" s="11" t="str">
        <f>IF(TOE!$B47="Mek",IF($A47="","",J$1&amp;" "&amp;$C47&amp;" tons"),"")</f>
        <v/>
      </c>
      <c r="K47" s="11" t="str">
        <f>IF(TOE!$B47="Mek",IF($A47="","",K$1&amp;" "&amp;$C47&amp;" tons"),"")</f>
        <v/>
      </c>
      <c r="L47" s="11" t="str">
        <f>IF(TOE!$B47="Mek",IF($A47="","",L$1&amp;" "&amp;$C47&amp;" tons"),"")</f>
        <v/>
      </c>
      <c r="M47" s="11" t="str">
        <f>IF(TOE!$B47="Mek",IF($A47="","",M$1&amp;" "&amp;$C47&amp;" tons"),"")</f>
        <v/>
      </c>
      <c r="N47" s="11" t="str">
        <f>IF(TOE!$B47="Mek",IF($A47="","",N$1&amp;" "&amp;$C47&amp;" tons"),"")</f>
        <v/>
      </c>
      <c r="O47" s="11" t="str">
        <f>IF(TOE!$B47="Mek",IF($A47="","",O$1&amp;" "&amp;$C47&amp;" tons"),"")</f>
        <v/>
      </c>
      <c r="P47" s="11" t="str">
        <f>IF(TOE!$B47="Mek",IF($A47="","",P$1&amp;" "&amp;$C47&amp;" tons"),"")</f>
        <v/>
      </c>
    </row>
    <row r="48" spans="1:16" ht="49" customHeight="1" x14ac:dyDescent="0.2">
      <c r="A48" s="11" t="str">
        <f>IF(TOE!A48="","",TOE!A48)</f>
        <v>Maxim Heavy Hover Transport #3</v>
      </c>
      <c r="B48" s="10" t="str">
        <f>IF(TOE!B48="","",TOE!B48)</f>
        <v>Tank</v>
      </c>
      <c r="C48" s="10">
        <f>IF(TOE!E48="","",TOE!E48)</f>
        <v>50</v>
      </c>
      <c r="D48" s="11" t="str">
        <f>IF(TOE!$B48="Mek",IF($A48="","",D$1&amp;" "&amp;$C48&amp;" tons"),"")</f>
        <v/>
      </c>
      <c r="E48" s="11" t="str">
        <f>IF(TOE!$B48="Mek",IF($A48="","",E$1&amp;" "&amp;$C48&amp;" tons"),"")</f>
        <v/>
      </c>
      <c r="F48" s="11" t="str">
        <f>IF(TOE!$B48="Mek",IF($A48="","",F$1&amp;" "&amp;$C48&amp;" tons"),"")</f>
        <v/>
      </c>
      <c r="G48" s="11" t="str">
        <f>IF(TOE!$B48="Mek",IF($A48="","",G$1&amp;" "&amp;$C48&amp;" tons"),"")</f>
        <v/>
      </c>
      <c r="H48" s="11" t="str">
        <f>IF(TOE!$B48="Mek",IF($A48="","",H$1&amp;" "&amp;$C48&amp;" tons"),"")</f>
        <v/>
      </c>
      <c r="I48" s="11" t="str">
        <f>IF(TOE!$B48="Mek",IF($A48="","",I$1&amp;" "&amp;$C48&amp;" tons"),"")</f>
        <v/>
      </c>
      <c r="J48" s="11" t="str">
        <f>IF(TOE!$B48="Mek",IF($A48="","",J$1&amp;" "&amp;$C48&amp;" tons"),"")</f>
        <v/>
      </c>
      <c r="K48" s="11" t="str">
        <f>IF(TOE!$B48="Mek",IF($A48="","",K$1&amp;" "&amp;$C48&amp;" tons"),"")</f>
        <v/>
      </c>
      <c r="L48" s="11" t="str">
        <f>IF(TOE!$B48="Mek",IF($A48="","",L$1&amp;" "&amp;$C48&amp;" tons"),"")</f>
        <v/>
      </c>
      <c r="M48" s="11" t="str">
        <f>IF(TOE!$B48="Mek",IF($A48="","",M$1&amp;" "&amp;$C48&amp;" tons"),"")</f>
        <v/>
      </c>
      <c r="N48" s="11" t="str">
        <f>IF(TOE!$B48="Mek",IF($A48="","",N$1&amp;" "&amp;$C48&amp;" tons"),"")</f>
        <v/>
      </c>
      <c r="O48" s="11" t="str">
        <f>IF(TOE!$B48="Mek",IF($A48="","",O$1&amp;" "&amp;$C48&amp;" tons"),"")</f>
        <v/>
      </c>
      <c r="P48" s="11" t="str">
        <f>IF(TOE!$B48="Mek",IF($A48="","",P$1&amp;" "&amp;$C48&amp;" tons"),"")</f>
        <v/>
      </c>
    </row>
    <row r="49" spans="1:16" ht="49" customHeight="1" x14ac:dyDescent="0.2">
      <c r="A49" s="11" t="str">
        <f>IF(TOE!A49="","",TOE!A49)</f>
        <v>Manticore Heavy Tank #2</v>
      </c>
      <c r="B49" s="10" t="str">
        <f>IF(TOE!B49="","",TOE!B49)</f>
        <v>Tank</v>
      </c>
      <c r="C49" s="10">
        <f>IF(TOE!E49="","",TOE!E49)</f>
        <v>60</v>
      </c>
      <c r="D49" s="11" t="str">
        <f>IF(TOE!$B49="Mek",IF($A49="","",D$1&amp;" "&amp;$C49&amp;" tons"),"")</f>
        <v/>
      </c>
      <c r="E49" s="11" t="str">
        <f>IF(TOE!$B49="Mek",IF($A49="","",E$1&amp;" "&amp;$C49&amp;" tons"),"")</f>
        <v/>
      </c>
      <c r="F49" s="11" t="str">
        <f>IF(TOE!$B49="Mek",IF($A49="","",F$1&amp;" "&amp;$C49&amp;" tons"),"")</f>
        <v/>
      </c>
      <c r="G49" s="11" t="str">
        <f>IF(TOE!$B49="Mek",IF($A49="","",G$1&amp;" "&amp;$C49&amp;" tons"),"")</f>
        <v/>
      </c>
      <c r="H49" s="11" t="str">
        <f>IF(TOE!$B49="Mek",IF($A49="","",H$1&amp;" "&amp;$C49&amp;" tons"),"")</f>
        <v/>
      </c>
      <c r="I49" s="11" t="str">
        <f>IF(TOE!$B49="Mek",IF($A49="","",I$1&amp;" "&amp;$C49&amp;" tons"),"")</f>
        <v/>
      </c>
      <c r="J49" s="11" t="str">
        <f>IF(TOE!$B49="Mek",IF($A49="","",J$1&amp;" "&amp;$C49&amp;" tons"),"")</f>
        <v/>
      </c>
      <c r="K49" s="11" t="str">
        <f>IF(TOE!$B49="Mek",IF($A49="","",K$1&amp;" "&amp;$C49&amp;" tons"),"")</f>
        <v/>
      </c>
      <c r="L49" s="11" t="str">
        <f>IF(TOE!$B49="Mek",IF($A49="","",L$1&amp;" "&amp;$C49&amp;" tons"),"")</f>
        <v/>
      </c>
      <c r="M49" s="11" t="str">
        <f>IF(TOE!$B49="Mek",IF($A49="","",M$1&amp;" "&amp;$C49&amp;" tons"),"")</f>
        <v/>
      </c>
      <c r="N49" s="11" t="str">
        <f>IF(TOE!$B49="Mek",IF($A49="","",N$1&amp;" "&amp;$C49&amp;" tons"),"")</f>
        <v/>
      </c>
      <c r="O49" s="11" t="str">
        <f>IF(TOE!$B49="Mek",IF($A49="","",O$1&amp;" "&amp;$C49&amp;" tons"),"")</f>
        <v/>
      </c>
      <c r="P49" s="11" t="str">
        <f>IF(TOE!$B49="Mek",IF($A49="","",P$1&amp;" "&amp;$C49&amp;" tons"),"")</f>
        <v/>
      </c>
    </row>
    <row r="50" spans="1:16" ht="49" customHeight="1" x14ac:dyDescent="0.2">
      <c r="A50" s="11" t="str">
        <f>IF(TOE!A50="","",TOE!A50)</f>
        <v>Strike Falcon Attack VTOL</v>
      </c>
      <c r="B50" s="10" t="str">
        <f>IF(TOE!B50="","",TOE!B50)</f>
        <v>VTOL</v>
      </c>
      <c r="C50" s="10">
        <f>IF(TOE!E50="","",TOE!E50)</f>
        <v>30</v>
      </c>
      <c r="D50" s="11" t="str">
        <f>IF(TOE!$B50="Mek",IF($A50="","",D$1&amp;" "&amp;$C50&amp;" tons"),"")</f>
        <v/>
      </c>
      <c r="E50" s="11" t="str">
        <f>IF(TOE!$B50="Mek",IF($A50="","",E$1&amp;" "&amp;$C50&amp;" tons"),"")</f>
        <v/>
      </c>
      <c r="F50" s="11" t="str">
        <f>IF(TOE!$B50="Mek",IF($A50="","",F$1&amp;" "&amp;$C50&amp;" tons"),"")</f>
        <v/>
      </c>
      <c r="G50" s="11" t="str">
        <f>IF(TOE!$B50="Mek",IF($A50="","",G$1&amp;" "&amp;$C50&amp;" tons"),"")</f>
        <v/>
      </c>
      <c r="H50" s="11" t="str">
        <f>IF(TOE!$B50="Mek",IF($A50="","",H$1&amp;" "&amp;$C50&amp;" tons"),"")</f>
        <v/>
      </c>
      <c r="I50" s="11" t="str">
        <f>IF(TOE!$B50="Mek",IF($A50="","",I$1&amp;" "&amp;$C50&amp;" tons"),"")</f>
        <v/>
      </c>
      <c r="J50" s="11" t="str">
        <f>IF(TOE!$B50="Mek",IF($A50="","",J$1&amp;" "&amp;$C50&amp;" tons"),"")</f>
        <v/>
      </c>
      <c r="K50" s="11" t="str">
        <f>IF(TOE!$B50="Mek",IF($A50="","",K$1&amp;" "&amp;$C50&amp;" tons"),"")</f>
        <v/>
      </c>
      <c r="L50" s="11" t="str">
        <f>IF(TOE!$B50="Mek",IF($A50="","",L$1&amp;" "&amp;$C50&amp;" tons"),"")</f>
        <v/>
      </c>
      <c r="M50" s="11" t="str">
        <f>IF(TOE!$B50="Mek",IF($A50="","",M$1&amp;" "&amp;$C50&amp;" tons"),"")</f>
        <v/>
      </c>
      <c r="N50" s="11" t="str">
        <f>IF(TOE!$B50="Mek",IF($A50="","",N$1&amp;" "&amp;$C50&amp;" tons"),"")</f>
        <v/>
      </c>
      <c r="O50" s="11" t="str">
        <f>IF(TOE!$B50="Mek",IF($A50="","",O$1&amp;" "&amp;$C50&amp;" tons"),"")</f>
        <v/>
      </c>
      <c r="P50" s="11" t="str">
        <f>IF(TOE!$B50="Mek",IF($A50="","",P$1&amp;" "&amp;$C50&amp;" tons"),"")</f>
        <v/>
      </c>
    </row>
    <row r="51" spans="1:16" ht="49" customHeight="1" x14ac:dyDescent="0.2">
      <c r="A51" s="11" t="str">
        <f>IF(TOE!A51="","",TOE!A51)</f>
        <v>Strike Falcon Attack VTOL #2</v>
      </c>
      <c r="B51" s="10" t="str">
        <f>IF(TOE!B51="","",TOE!B51)</f>
        <v>VTOL</v>
      </c>
      <c r="C51" s="10">
        <f>IF(TOE!E51="","",TOE!E51)</f>
        <v>30</v>
      </c>
      <c r="D51" s="11" t="str">
        <f>IF(TOE!$B51="Mek",IF($A51="","",D$1&amp;" "&amp;$C51&amp;" tons"),"")</f>
        <v/>
      </c>
      <c r="E51" s="11" t="str">
        <f>IF(TOE!$B51="Mek",IF($A51="","",E$1&amp;" "&amp;$C51&amp;" tons"),"")</f>
        <v/>
      </c>
      <c r="F51" s="11" t="str">
        <f>IF(TOE!$B51="Mek",IF($A51="","",F$1&amp;" "&amp;$C51&amp;" tons"),"")</f>
        <v/>
      </c>
      <c r="G51" s="11" t="str">
        <f>IF(TOE!$B51="Mek",IF($A51="","",G$1&amp;" "&amp;$C51&amp;" tons"),"")</f>
        <v/>
      </c>
      <c r="H51" s="11" t="str">
        <f>IF(TOE!$B51="Mek",IF($A51="","",H$1&amp;" "&amp;$C51&amp;" tons"),"")</f>
        <v/>
      </c>
      <c r="I51" s="11" t="str">
        <f>IF(TOE!$B51="Mek",IF($A51="","",I$1&amp;" "&amp;$C51&amp;" tons"),"")</f>
        <v/>
      </c>
      <c r="J51" s="11" t="str">
        <f>IF(TOE!$B51="Mek",IF($A51="","",J$1&amp;" "&amp;$C51&amp;" tons"),"")</f>
        <v/>
      </c>
      <c r="K51" s="11" t="str">
        <f>IF(TOE!$B51="Mek",IF($A51="","",K$1&amp;" "&amp;$C51&amp;" tons"),"")</f>
        <v/>
      </c>
      <c r="L51" s="11" t="str">
        <f>IF(TOE!$B51="Mek",IF($A51="","",L$1&amp;" "&amp;$C51&amp;" tons"),"")</f>
        <v/>
      </c>
      <c r="M51" s="11" t="str">
        <f>IF(TOE!$B51="Mek",IF($A51="","",M$1&amp;" "&amp;$C51&amp;" tons"),"")</f>
        <v/>
      </c>
      <c r="N51" s="11" t="str">
        <f>IF(TOE!$B51="Mek",IF($A51="","",N$1&amp;" "&amp;$C51&amp;" tons"),"")</f>
        <v/>
      </c>
      <c r="O51" s="11" t="str">
        <f>IF(TOE!$B51="Mek",IF($A51="","",O$1&amp;" "&amp;$C51&amp;" tons"),"")</f>
        <v/>
      </c>
      <c r="P51" s="11" t="str">
        <f>IF(TOE!$B51="Mek",IF($A51="","",P$1&amp;" "&amp;$C51&amp;" tons"),"")</f>
        <v/>
      </c>
    </row>
    <row r="52" spans="1:16" ht="49" customHeight="1" x14ac:dyDescent="0.2">
      <c r="A52" s="11" t="str">
        <f>IF(TOE!A52="","",TOE!A52)</f>
        <v>Strike Falcon Attack VTOL #3</v>
      </c>
      <c r="B52" s="10" t="str">
        <f>IF(TOE!B52="","",TOE!B52)</f>
        <v>VTOL</v>
      </c>
      <c r="C52" s="10">
        <f>IF(TOE!E52="","",TOE!E52)</f>
        <v>30</v>
      </c>
      <c r="D52" s="11" t="str">
        <f>IF(TOE!$B52="Mek",IF($A52="","",D$1&amp;" "&amp;$C52&amp;" tons"),"")</f>
        <v/>
      </c>
      <c r="E52" s="11" t="str">
        <f>IF(TOE!$B52="Mek",IF($A52="","",E$1&amp;" "&amp;$C52&amp;" tons"),"")</f>
        <v/>
      </c>
      <c r="F52" s="11" t="str">
        <f>IF(TOE!$B52="Mek",IF($A52="","",F$1&amp;" "&amp;$C52&amp;" tons"),"")</f>
        <v/>
      </c>
      <c r="G52" s="11" t="str">
        <f>IF(TOE!$B52="Mek",IF($A52="","",G$1&amp;" "&amp;$C52&amp;" tons"),"")</f>
        <v/>
      </c>
      <c r="H52" s="11" t="str">
        <f>IF(TOE!$B52="Mek",IF($A52="","",H$1&amp;" "&amp;$C52&amp;" tons"),"")</f>
        <v/>
      </c>
      <c r="I52" s="11" t="str">
        <f>IF(TOE!$B52="Mek",IF($A52="","",I$1&amp;" "&amp;$C52&amp;" tons"),"")</f>
        <v/>
      </c>
      <c r="J52" s="11" t="str">
        <f>IF(TOE!$B52="Mek",IF($A52="","",J$1&amp;" "&amp;$C52&amp;" tons"),"")</f>
        <v/>
      </c>
      <c r="K52" s="11" t="str">
        <f>IF(TOE!$B52="Mek",IF($A52="","",K$1&amp;" "&amp;$C52&amp;" tons"),"")</f>
        <v/>
      </c>
      <c r="L52" s="11" t="str">
        <f>IF(TOE!$B52="Mek",IF($A52="","",L$1&amp;" "&amp;$C52&amp;" tons"),"")</f>
        <v/>
      </c>
      <c r="M52" s="11" t="str">
        <f>IF(TOE!$B52="Mek",IF($A52="","",M$1&amp;" "&amp;$C52&amp;" tons"),"")</f>
        <v/>
      </c>
      <c r="N52" s="11" t="str">
        <f>IF(TOE!$B52="Mek",IF($A52="","",N$1&amp;" "&amp;$C52&amp;" tons"),"")</f>
        <v/>
      </c>
      <c r="O52" s="11" t="str">
        <f>IF(TOE!$B52="Mek",IF($A52="","",O$1&amp;" "&amp;$C52&amp;" tons"),"")</f>
        <v/>
      </c>
      <c r="P52" s="11" t="str">
        <f>IF(TOE!$B52="Mek",IF($A52="","",P$1&amp;" "&amp;$C52&amp;" tons"),"")</f>
        <v/>
      </c>
    </row>
    <row r="53" spans="1:16" ht="49" customHeight="1" x14ac:dyDescent="0.2">
      <c r="A53" s="11" t="str">
        <f>IF(TOE!A53="","",TOE!A53)</f>
        <v>Warrior Attack Helicopter H-7A</v>
      </c>
      <c r="B53" s="10" t="str">
        <f>IF(TOE!B53="","",TOE!B53)</f>
        <v>VTOL</v>
      </c>
      <c r="C53" s="10">
        <f>IF(TOE!E53="","",TOE!E53)</f>
        <v>21</v>
      </c>
      <c r="D53" s="11" t="str">
        <f>IF(TOE!$B53="Mek",IF($A53="","",D$1&amp;" "&amp;$C53&amp;" tons"),"")</f>
        <v/>
      </c>
      <c r="E53" s="11" t="str">
        <f>IF(TOE!$B53="Mek",IF($A53="","",E$1&amp;" "&amp;$C53&amp;" tons"),"")</f>
        <v/>
      </c>
      <c r="F53" s="11" t="str">
        <f>IF(TOE!$B53="Mek",IF($A53="","",F$1&amp;" "&amp;$C53&amp;" tons"),"")</f>
        <v/>
      </c>
      <c r="G53" s="11" t="str">
        <f>IF(TOE!$B53="Mek",IF($A53="","",G$1&amp;" "&amp;$C53&amp;" tons"),"")</f>
        <v/>
      </c>
      <c r="H53" s="11" t="str">
        <f>IF(TOE!$B53="Mek",IF($A53="","",H$1&amp;" "&amp;$C53&amp;" tons"),"")</f>
        <v/>
      </c>
      <c r="I53" s="11" t="str">
        <f>IF(TOE!$B53="Mek",IF($A53="","",I$1&amp;" "&amp;$C53&amp;" tons"),"")</f>
        <v/>
      </c>
      <c r="J53" s="11" t="str">
        <f>IF(TOE!$B53="Mek",IF($A53="","",J$1&amp;" "&amp;$C53&amp;" tons"),"")</f>
        <v/>
      </c>
      <c r="K53" s="11" t="str">
        <f>IF(TOE!$B53="Mek",IF($A53="","",K$1&amp;" "&amp;$C53&amp;" tons"),"")</f>
        <v/>
      </c>
      <c r="L53" s="11" t="str">
        <f>IF(TOE!$B53="Mek",IF($A53="","",L$1&amp;" "&amp;$C53&amp;" tons"),"")</f>
        <v/>
      </c>
      <c r="M53" s="11" t="str">
        <f>IF(TOE!$B53="Mek",IF($A53="","",M$1&amp;" "&amp;$C53&amp;" tons"),"")</f>
        <v/>
      </c>
      <c r="N53" s="11" t="str">
        <f>IF(TOE!$B53="Mek",IF($A53="","",N$1&amp;" "&amp;$C53&amp;" tons"),"")</f>
        <v/>
      </c>
      <c r="O53" s="11" t="str">
        <f>IF(TOE!$B53="Mek",IF($A53="","",O$1&amp;" "&amp;$C53&amp;" tons"),"")</f>
        <v/>
      </c>
      <c r="P53" s="11" t="str">
        <f>IF(TOE!$B53="Mek",IF($A53="","",P$1&amp;" "&amp;$C53&amp;" tons"),"")</f>
        <v/>
      </c>
    </row>
    <row r="54" spans="1:16" ht="49" customHeight="1" x14ac:dyDescent="0.2">
      <c r="A54" s="11" t="str">
        <f>IF(TOE!A54="","",TOE!A54)</f>
        <v>Warrior Attack Helicopter H-7A #2</v>
      </c>
      <c r="B54" s="10" t="str">
        <f>IF(TOE!B54="","",TOE!B54)</f>
        <v>VTOL</v>
      </c>
      <c r="C54" s="10">
        <f>IF(TOE!E54="","",TOE!E54)</f>
        <v>21</v>
      </c>
      <c r="D54" s="11" t="str">
        <f>IF(TOE!$B54="Mek",IF($A54="","",D$1&amp;" "&amp;$C54&amp;" tons"),"")</f>
        <v/>
      </c>
      <c r="E54" s="11" t="str">
        <f>IF(TOE!$B54="Mek",IF($A54="","",E$1&amp;" "&amp;$C54&amp;" tons"),"")</f>
        <v/>
      </c>
      <c r="F54" s="11" t="str">
        <f>IF(TOE!$B54="Mek",IF($A54="","",F$1&amp;" "&amp;$C54&amp;" tons"),"")</f>
        <v/>
      </c>
      <c r="G54" s="11" t="str">
        <f>IF(TOE!$B54="Mek",IF($A54="","",G$1&amp;" "&amp;$C54&amp;" tons"),"")</f>
        <v/>
      </c>
      <c r="H54" s="11" t="str">
        <f>IF(TOE!$B54="Mek",IF($A54="","",H$1&amp;" "&amp;$C54&amp;" tons"),"")</f>
        <v/>
      </c>
      <c r="I54" s="11" t="str">
        <f>IF(TOE!$B54="Mek",IF($A54="","",I$1&amp;" "&amp;$C54&amp;" tons"),"")</f>
        <v/>
      </c>
      <c r="J54" s="11" t="str">
        <f>IF(TOE!$B54="Mek",IF($A54="","",J$1&amp;" "&amp;$C54&amp;" tons"),"")</f>
        <v/>
      </c>
      <c r="K54" s="11" t="str">
        <f>IF(TOE!$B54="Mek",IF($A54="","",K$1&amp;" "&amp;$C54&amp;" tons"),"")</f>
        <v/>
      </c>
      <c r="L54" s="11" t="str">
        <f>IF(TOE!$B54="Mek",IF($A54="","",L$1&amp;" "&amp;$C54&amp;" tons"),"")</f>
        <v/>
      </c>
      <c r="M54" s="11" t="str">
        <f>IF(TOE!$B54="Mek",IF($A54="","",M$1&amp;" "&amp;$C54&amp;" tons"),"")</f>
        <v/>
      </c>
      <c r="N54" s="11" t="str">
        <f>IF(TOE!$B54="Mek",IF($A54="","",N$1&amp;" "&amp;$C54&amp;" tons"),"")</f>
        <v/>
      </c>
      <c r="O54" s="11" t="str">
        <f>IF(TOE!$B54="Mek",IF($A54="","",O$1&amp;" "&amp;$C54&amp;" tons"),"")</f>
        <v/>
      </c>
      <c r="P54" s="11" t="str">
        <f>IF(TOE!$B54="Mek",IF($A54="","",P$1&amp;" "&amp;$C54&amp;" tons"),"")</f>
        <v/>
      </c>
    </row>
    <row r="55" spans="1:16" ht="49" customHeight="1" x14ac:dyDescent="0.2">
      <c r="A55" s="11" t="str">
        <f>IF(TOE!A55="","",TOE!A55)</f>
        <v>Warrior Attack Helicopter H-7</v>
      </c>
      <c r="B55" s="10" t="str">
        <f>IF(TOE!B55="","",TOE!B55)</f>
        <v>VTOL</v>
      </c>
      <c r="C55" s="10">
        <f>IF(TOE!E55="","",TOE!E55)</f>
        <v>21</v>
      </c>
      <c r="D55" s="11" t="str">
        <f>IF(TOE!$B55="Mek",IF($A55="","",D$1&amp;" "&amp;$C55&amp;" tons"),"")</f>
        <v/>
      </c>
      <c r="E55" s="11" t="str">
        <f>IF(TOE!$B55="Mek",IF($A55="","",E$1&amp;" "&amp;$C55&amp;" tons"),"")</f>
        <v/>
      </c>
      <c r="F55" s="11" t="str">
        <f>IF(TOE!$B55="Mek",IF($A55="","",F$1&amp;" "&amp;$C55&amp;" tons"),"")</f>
        <v/>
      </c>
      <c r="G55" s="11" t="str">
        <f>IF(TOE!$B55="Mek",IF($A55="","",G$1&amp;" "&amp;$C55&amp;" tons"),"")</f>
        <v/>
      </c>
      <c r="H55" s="11" t="str">
        <f>IF(TOE!$B55="Mek",IF($A55="","",H$1&amp;" "&amp;$C55&amp;" tons"),"")</f>
        <v/>
      </c>
      <c r="I55" s="11" t="str">
        <f>IF(TOE!$B55="Mek",IF($A55="","",I$1&amp;" "&amp;$C55&amp;" tons"),"")</f>
        <v/>
      </c>
      <c r="J55" s="11" t="str">
        <f>IF(TOE!$B55="Mek",IF($A55="","",J$1&amp;" "&amp;$C55&amp;" tons"),"")</f>
        <v/>
      </c>
      <c r="K55" s="11" t="str">
        <f>IF(TOE!$B55="Mek",IF($A55="","",K$1&amp;" "&amp;$C55&amp;" tons"),"")</f>
        <v/>
      </c>
      <c r="L55" s="11" t="str">
        <f>IF(TOE!$B55="Mek",IF($A55="","",L$1&amp;" "&amp;$C55&amp;" tons"),"")</f>
        <v/>
      </c>
      <c r="M55" s="11" t="str">
        <f>IF(TOE!$B55="Mek",IF($A55="","",M$1&amp;" "&amp;$C55&amp;" tons"),"")</f>
        <v/>
      </c>
      <c r="N55" s="11" t="str">
        <f>IF(TOE!$B55="Mek",IF($A55="","",N$1&amp;" "&amp;$C55&amp;" tons"),"")</f>
        <v/>
      </c>
      <c r="O55" s="11" t="str">
        <f>IF(TOE!$B55="Mek",IF($A55="","",O$1&amp;" "&amp;$C55&amp;" tons"),"")</f>
        <v/>
      </c>
      <c r="P55" s="11" t="str">
        <f>IF(TOE!$B55="Mek",IF($A55="","",P$1&amp;" "&amp;$C55&amp;" tons"),"")</f>
        <v/>
      </c>
    </row>
    <row r="56" spans="1:16" ht="49" customHeight="1" x14ac:dyDescent="0.2">
      <c r="C56" s="10" t="str">
        <f>IF(TOE!E56="","",TOE!E56)</f>
        <v/>
      </c>
      <c r="D56" s="11" t="str">
        <f>IF(TOE!$B56="Mek",IF($A56="","",D$1&amp;" "&amp;$C56&amp;" tons"),"")</f>
        <v/>
      </c>
      <c r="E56" s="11" t="str">
        <f>IF(TOE!$B56="Mek",IF($A56="","",E$1&amp;" "&amp;$C56&amp;" tons"),"")</f>
        <v/>
      </c>
      <c r="F56" s="11" t="str">
        <f>IF(TOE!$B56="Mek",IF($A56="","",F$1&amp;" "&amp;$C56&amp;" tons"),"")</f>
        <v/>
      </c>
      <c r="G56" s="11" t="str">
        <f>IF(TOE!$B56="Mek",IF($A56="","",G$1&amp;" "&amp;$C56&amp;" tons"),"")</f>
        <v/>
      </c>
      <c r="H56" s="11" t="str">
        <f>IF(TOE!$B56="Mek",IF($A56="","",H$1&amp;" "&amp;$C56&amp;" tons"),"")</f>
        <v/>
      </c>
      <c r="I56" s="11" t="str">
        <f>IF(TOE!$B56="Mek",IF($A56="","",I$1&amp;" "&amp;$C56&amp;" tons"),"")</f>
        <v/>
      </c>
      <c r="J56" s="11" t="str">
        <f>IF(TOE!$B56="Mek",IF($A56="","",J$1&amp;" "&amp;$C56&amp;" tons"),"")</f>
        <v/>
      </c>
      <c r="K56" s="11" t="str">
        <f>IF(TOE!$B56="Mek",IF($A56="","",K$1&amp;" "&amp;$C56&amp;" tons"),"")</f>
        <v/>
      </c>
      <c r="L56" s="11" t="str">
        <f>IF(TOE!$B56="Mek",IF($A56="","",L$1&amp;" "&amp;$C56&amp;" tons"),"")</f>
        <v/>
      </c>
      <c r="M56" s="11" t="str">
        <f>IF(TOE!$B56="Mek",IF($A56="","",M$1&amp;" "&amp;$C56&amp;" tons"),"")</f>
        <v/>
      </c>
      <c r="N56" s="11" t="str">
        <f>IF(TOE!$B56="Mek",IF($A56="","",N$1&amp;" "&amp;$C56&amp;" tons"),"")</f>
        <v/>
      </c>
      <c r="O56" s="11" t="str">
        <f>IF(TOE!$B56="Mek",IF($A56="","",O$1&amp;" "&amp;$C56&amp;" tons"),"")</f>
        <v/>
      </c>
      <c r="P56" s="11" t="str">
        <f>IF(TOE!$B56="Mek",IF($A56="","",P$1&amp;" "&amp;$C56&amp;" tons"),"")</f>
        <v/>
      </c>
    </row>
    <row r="57" spans="1:16" ht="49" customHeight="1" x14ac:dyDescent="0.2">
      <c r="C57" s="10" t="str">
        <f>IF(TOE!E57="","",TOE!E57)</f>
        <v/>
      </c>
      <c r="D57" s="11" t="str">
        <f>IF(TOE!$B57="Mek",IF($A57="","",D$1&amp;" "&amp;$C57&amp;" tons"),"")</f>
        <v/>
      </c>
      <c r="E57" s="11" t="str">
        <f>IF(TOE!$B57="Mek",IF($A57="","",E$1&amp;" "&amp;$C57&amp;" tons"),"")</f>
        <v/>
      </c>
      <c r="F57" s="11" t="str">
        <f>IF(TOE!$B57="Mek",IF($A57="","",F$1&amp;" "&amp;$C57&amp;" tons"),"")</f>
        <v/>
      </c>
      <c r="G57" s="11" t="str">
        <f>IF(TOE!$B57="Mek",IF($A57="","",G$1&amp;" "&amp;$C57&amp;" tons"),"")</f>
        <v/>
      </c>
      <c r="H57" s="11" t="str">
        <f>IF(TOE!$B57="Mek",IF($A57="","",H$1&amp;" "&amp;$C57&amp;" tons"),"")</f>
        <v/>
      </c>
      <c r="I57" s="11" t="str">
        <f>IF(TOE!$B57="Mek",IF($A57="","",I$1&amp;" "&amp;$C57&amp;" tons"),"")</f>
        <v/>
      </c>
      <c r="J57" s="11" t="str">
        <f>IF(TOE!$B57="Mek",IF($A57="","",J$1&amp;" "&amp;$C57&amp;" tons"),"")</f>
        <v/>
      </c>
      <c r="K57" s="11" t="str">
        <f>IF(TOE!$B57="Mek",IF($A57="","",K$1&amp;" "&amp;$C57&amp;" tons"),"")</f>
        <v/>
      </c>
      <c r="L57" s="11" t="str">
        <f>IF(TOE!$B57="Mek",IF($A57="","",L$1&amp;" "&amp;$C57&amp;" tons"),"")</f>
        <v/>
      </c>
      <c r="M57" s="11" t="str">
        <f>IF(TOE!$B57="Mek",IF($A57="","",M$1&amp;" "&amp;$C57&amp;" tons"),"")</f>
        <v/>
      </c>
      <c r="N57" s="11" t="str">
        <f>IF(TOE!$B57="Mek",IF($A57="","",N$1&amp;" "&amp;$C57&amp;" tons"),"")</f>
        <v/>
      </c>
      <c r="O57" s="11" t="str">
        <f>IF(TOE!$B57="Mek",IF($A57="","",O$1&amp;" "&amp;$C57&amp;" tons"),"")</f>
        <v/>
      </c>
      <c r="P57" s="11" t="str">
        <f>IF(TOE!$B57="Mek",IF($A57="","",P$1&amp;" "&amp;$C57&amp;" tons"),"")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6F3F6-80E4-FB41-ACCA-D0AEA83079ED}">
  <dimension ref="A1:R50"/>
  <sheetViews>
    <sheetView workbookViewId="0">
      <selection activeCell="A17" sqref="A17"/>
    </sheetView>
  </sheetViews>
  <sheetFormatPr baseColWidth="10" defaultRowHeight="16" x14ac:dyDescent="0.2"/>
  <cols>
    <col min="1" max="1" width="50.1640625" bestFit="1" customWidth="1"/>
    <col min="2" max="2" width="15.5" style="2" bestFit="1" customWidth="1"/>
    <col min="3" max="3" width="12" style="2" customWidth="1"/>
    <col min="4" max="18" width="10.83203125" style="2"/>
  </cols>
  <sheetData>
    <row r="1" spans="1:18" x14ac:dyDescent="0.2">
      <c r="A1" s="7" t="s">
        <v>141</v>
      </c>
      <c r="B1" s="8" t="s">
        <v>29</v>
      </c>
      <c r="C1" s="8" t="s">
        <v>147</v>
      </c>
      <c r="D1" s="9" t="s">
        <v>144</v>
      </c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2" spans="1:18" x14ac:dyDescent="0.2">
      <c r="A2" t="str">
        <f>IF(TOE!A2="","",TOE!A2)</f>
        <v>Lightning LTN-G15</v>
      </c>
    </row>
    <row r="3" spans="1:18" x14ac:dyDescent="0.2">
      <c r="A3" t="str">
        <f>IF(TOE!A3="","",TOE!A3)</f>
        <v>Stingray F-90</v>
      </c>
    </row>
    <row r="4" spans="1:18" x14ac:dyDescent="0.2">
      <c r="A4" t="str">
        <f>IF(TOE!A4="","",TOE!A4)</f>
        <v>Boomerang Spotter Plane</v>
      </c>
    </row>
    <row r="5" spans="1:18" x14ac:dyDescent="0.2">
      <c r="A5" t="str">
        <f>IF(TOE!A5="","",TOE!A5)</f>
        <v>Leopard (Black Swan Mk III) - The Black Swan</v>
      </c>
    </row>
    <row r="6" spans="1:18" x14ac:dyDescent="0.2">
      <c r="A6" t="str">
        <f>IF(TOE!A6="","",TOE!A6)</f>
        <v>Union (2708)</v>
      </c>
    </row>
    <row r="7" spans="1:18" x14ac:dyDescent="0.2">
      <c r="A7" t="str">
        <f>IF(TOE!A7="","",TOE!A7)</f>
        <v>Gazelle (Heavy Vehicle) Mk II</v>
      </c>
    </row>
    <row r="8" spans="1:18" x14ac:dyDescent="0.2">
      <c r="A8" t="str">
        <f>IF(TOE!A8="","",TOE!A8)</f>
        <v>Jump Platoon (Rifle)</v>
      </c>
    </row>
    <row r="9" spans="1:18" x14ac:dyDescent="0.2">
      <c r="A9" t="str">
        <f>IF(TOE!A9="","",TOE!A9)</f>
        <v>Jump Platoon (SRM)</v>
      </c>
    </row>
    <row r="10" spans="1:18" x14ac:dyDescent="0.2">
      <c r="A10" t="str">
        <f>IF(TOE!A10="","",TOE!A10)</f>
        <v>Jump Platoon (Flamer)</v>
      </c>
    </row>
    <row r="11" spans="1:18" x14ac:dyDescent="0.2">
      <c r="A11" t="str">
        <f>IF(TOE!A11="","",TOE!A11)</f>
        <v>Jump Platoon (Rifle) #2</v>
      </c>
    </row>
    <row r="12" spans="1:18" x14ac:dyDescent="0.2">
      <c r="A12" t="str">
        <f>IF(TOE!A12="","",TOE!A12)</f>
        <v>Foot Platoon (Laser Marine)</v>
      </c>
    </row>
    <row r="13" spans="1:18" x14ac:dyDescent="0.2">
      <c r="A13" t="str">
        <f>IF(TOE!A13="","",TOE!A13)</f>
        <v>Foot Platoon (Laser Marine) #2</v>
      </c>
    </row>
    <row r="14" spans="1:18" x14ac:dyDescent="0.2">
      <c r="A14" t="str">
        <f>IF(TOE!A14="","",TOE!A14)</f>
        <v>Foot Platoon (Laser Marine) #3</v>
      </c>
    </row>
    <row r="15" spans="1:18" x14ac:dyDescent="0.2">
      <c r="A15" t="str">
        <f>IF(TOE!A15="","",TOE!A15)</f>
        <v>Javelin JVN-10F 'Fire Javelin'</v>
      </c>
    </row>
    <row r="16" spans="1:18" x14ac:dyDescent="0.2">
      <c r="A16" t="str">
        <f>IF(TOE!A16="","",TOE!A16)</f>
        <v>Hunchback HBK-4P</v>
      </c>
      <c r="B16" s="2" t="s">
        <v>100</v>
      </c>
      <c r="C16" s="2">
        <v>12</v>
      </c>
      <c r="D16" s="2" t="s">
        <v>20</v>
      </c>
      <c r="E16" s="2" t="s">
        <v>20</v>
      </c>
      <c r="F16" s="2" t="s">
        <v>20</v>
      </c>
      <c r="G16" s="2" t="s">
        <v>20</v>
      </c>
      <c r="H16" s="2" t="s">
        <v>20</v>
      </c>
      <c r="I16" s="2" t="s">
        <v>20</v>
      </c>
      <c r="J16" s="2" t="s">
        <v>20</v>
      </c>
      <c r="K16" s="2" t="s">
        <v>20</v>
      </c>
      <c r="L16" s="2" t="s">
        <v>19</v>
      </c>
    </row>
    <row r="17" spans="1:1" x14ac:dyDescent="0.2">
      <c r="A17" t="str">
        <f>IF(TOE!A17="","",TOE!A17)</f>
        <v>Griffin GRF-1S</v>
      </c>
    </row>
    <row r="18" spans="1:1" x14ac:dyDescent="0.2">
      <c r="A18" t="str">
        <f>IF(TOE!A18="","",TOE!A18)</f>
        <v>Black Knight BL-7-KNT-L</v>
      </c>
    </row>
    <row r="19" spans="1:1" x14ac:dyDescent="0.2">
      <c r="A19" t="str">
        <f>IF(TOE!A19="","",TOE!A19)</f>
        <v>Grasshopper GHR-5H</v>
      </c>
    </row>
    <row r="20" spans="1:1" x14ac:dyDescent="0.2">
      <c r="A20" t="str">
        <f>IF(TOE!A20="","",TOE!A20)</f>
        <v>Stalker STK-4N</v>
      </c>
    </row>
    <row r="21" spans="1:1" x14ac:dyDescent="0.2">
      <c r="A21" t="str">
        <f>IF(TOE!A21="","",TOE!A21)</f>
        <v>Hunchback HBK-4P #2</v>
      </c>
    </row>
    <row r="22" spans="1:1" x14ac:dyDescent="0.2">
      <c r="A22" t="str">
        <f>IF(TOE!A22="","",TOE!A22)</f>
        <v>Thunderbolt TDR-5SS</v>
      </c>
    </row>
    <row r="23" spans="1:1" x14ac:dyDescent="0.2">
      <c r="A23" t="str">
        <f>IF(TOE!A23="","",TOE!A23)</f>
        <v>Rifleman RFL-3N</v>
      </c>
    </row>
    <row r="24" spans="1:1" x14ac:dyDescent="0.2">
      <c r="A24" t="str">
        <f>IF(TOE!A24="","",TOE!A24)</f>
        <v>Thunderbolt TDR-5SS #2</v>
      </c>
    </row>
    <row r="25" spans="1:1" x14ac:dyDescent="0.2">
      <c r="A25" t="str">
        <f>IF(TOE!A25="","",TOE!A25)</f>
        <v>Cicada CDA-3C</v>
      </c>
    </row>
    <row r="26" spans="1:1" x14ac:dyDescent="0.2">
      <c r="A26" t="str">
        <f>IF(TOE!A26="","",TOE!A26)</f>
        <v>Trebuchet TBT-5S</v>
      </c>
    </row>
    <row r="27" spans="1:1" x14ac:dyDescent="0.2">
      <c r="A27" t="str">
        <f>IF(TOE!A27="","",TOE!A27)</f>
        <v>Stalker STK-3F</v>
      </c>
    </row>
    <row r="28" spans="1:1" x14ac:dyDescent="0.2">
      <c r="A28" t="str">
        <f>IF(TOE!A28="","",TOE!A28)</f>
        <v>Spider SDR-5V</v>
      </c>
    </row>
    <row r="29" spans="1:1" x14ac:dyDescent="0.2">
      <c r="A29" t="str">
        <f>IF(TOE!A29="","",TOE!A29)</f>
        <v>Shadow Hawk SHD-2K</v>
      </c>
    </row>
    <row r="30" spans="1:1" x14ac:dyDescent="0.2">
      <c r="A30" t="str">
        <f>IF(TOE!A30="","",TOE!A30)</f>
        <v>Crab CRB-20</v>
      </c>
    </row>
    <row r="31" spans="1:1" x14ac:dyDescent="0.2">
      <c r="A31" t="str">
        <f>IF(TOE!A31="","",TOE!A31)</f>
        <v>Javelin JVN-10N</v>
      </c>
    </row>
    <row r="32" spans="1:1" x14ac:dyDescent="0.2">
      <c r="A32" t="str">
        <f>IF(TOE!A32="","",TOE!A32)</f>
        <v>Stinger LAM STG-A5</v>
      </c>
    </row>
    <row r="33" spans="1:1" x14ac:dyDescent="0.2">
      <c r="A33" t="str">
        <f>IF(TOE!A33="","",TOE!A33)</f>
        <v>MASH Truck (ICE)</v>
      </c>
    </row>
    <row r="34" spans="1:1" x14ac:dyDescent="0.2">
      <c r="A34" t="str">
        <f>IF(TOE!A34="","",TOE!A34)</f>
        <v>Heavy BattleMech Recovery Vehicle</v>
      </c>
    </row>
    <row r="35" spans="1:1" x14ac:dyDescent="0.2">
      <c r="A35" t="str">
        <f>IF(TOE!A35="","",TOE!A35)</f>
        <v>Partisan Heavy Tank</v>
      </c>
    </row>
    <row r="36" spans="1:1" x14ac:dyDescent="0.2">
      <c r="A36" t="str">
        <f>IF(TOE!A36="","",TOE!A36)</f>
        <v>Partisan Heavy Tank #2</v>
      </c>
    </row>
    <row r="37" spans="1:1" x14ac:dyDescent="0.2">
      <c r="A37" t="str">
        <f>IF(TOE!A37="","",TOE!A37)</f>
        <v>Partisan Heavy Tank #3</v>
      </c>
    </row>
    <row r="38" spans="1:1" x14ac:dyDescent="0.2">
      <c r="A38" t="str">
        <f>IF(TOE!A38="","",TOE!A38)</f>
        <v>Maxim Heavy Hover Transport</v>
      </c>
    </row>
    <row r="39" spans="1:1" x14ac:dyDescent="0.2">
      <c r="A39" t="str">
        <f>IF(TOE!A39="","",TOE!A39)</f>
        <v>Pegasus Scout Hover Tank</v>
      </c>
    </row>
    <row r="40" spans="1:1" x14ac:dyDescent="0.2">
      <c r="A40" t="str">
        <f>IF(TOE!A40="","",TOE!A40)</f>
        <v>Manticore Heavy Tank</v>
      </c>
    </row>
    <row r="41" spans="1:1" x14ac:dyDescent="0.2">
      <c r="A41" t="str">
        <f>IF(TOE!A41="","",TOE!A41)</f>
        <v>Partisan Heavy Tank (LRM)</v>
      </c>
    </row>
    <row r="42" spans="1:1" x14ac:dyDescent="0.2">
      <c r="A42" t="str">
        <f>IF(TOE!A42="","",TOE!A42)</f>
        <v>Mobile Long Tom Artillery LT-MOB-25</v>
      </c>
    </row>
    <row r="43" spans="1:1" x14ac:dyDescent="0.2">
      <c r="A43" t="str">
        <f>IF(TOE!A43="","",TOE!A43)</f>
        <v>Mobile Long Tom Artillery LT-MOB-25 (Ammunition Carriage)</v>
      </c>
    </row>
    <row r="44" spans="1:1" x14ac:dyDescent="0.2">
      <c r="A44" t="str">
        <f>IF(TOE!A44="","",TOE!A44)</f>
        <v>Mobile Long Tom Artillery LT-MOB-25 (Support Carriage)</v>
      </c>
    </row>
    <row r="45" spans="1:1" x14ac:dyDescent="0.2">
      <c r="A45" t="str">
        <f>IF(TOE!A45="","",TOE!A45)</f>
        <v>Maxim Heavy Hover Transport (SRM4)</v>
      </c>
    </row>
    <row r="46" spans="1:1" x14ac:dyDescent="0.2">
      <c r="A46" t="str">
        <f>IF(TOE!A46="","",TOE!A46)</f>
        <v>Maxim Heavy Hover Transport #2</v>
      </c>
    </row>
    <row r="47" spans="1:1" x14ac:dyDescent="0.2">
      <c r="A47" t="str">
        <f>IF(TOE!A47="","",TOE!A47)</f>
        <v>LRM Carrier</v>
      </c>
    </row>
    <row r="48" spans="1:1" x14ac:dyDescent="0.2">
      <c r="A48" t="str">
        <f>IF(TOE!A48="","",TOE!A48)</f>
        <v>Maxim Heavy Hover Transport #3</v>
      </c>
    </row>
    <row r="49" spans="1:1" x14ac:dyDescent="0.2">
      <c r="A49" t="str">
        <f>IF(TOE!A49="","",TOE!A49)</f>
        <v>Manticore Heavy Tank #2</v>
      </c>
    </row>
    <row r="50" spans="1:1" x14ac:dyDescent="0.2">
      <c r="A50" t="str">
        <f>IF(TOE!A50="","",TOE!A50)</f>
        <v>Strike Falcon Attack VTOL</v>
      </c>
    </row>
  </sheetData>
  <mergeCells count="1">
    <mergeCell ref="D1:R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1E847-C5D2-E842-A62D-354BE5ADBD75}">
  <dimension ref="A1:C207"/>
  <sheetViews>
    <sheetView workbookViewId="0">
      <selection activeCell="C6" sqref="C6"/>
    </sheetView>
  </sheetViews>
  <sheetFormatPr baseColWidth="10" defaultRowHeight="16" x14ac:dyDescent="0.2"/>
  <cols>
    <col min="1" max="1" width="24.1640625" bestFit="1" customWidth="1"/>
    <col min="2" max="2" width="15.83203125" bestFit="1" customWidth="1"/>
    <col min="3" max="3" width="31.33203125" bestFit="1" customWidth="1"/>
  </cols>
  <sheetData>
    <row r="1" spans="1:3" x14ac:dyDescent="0.2">
      <c r="A1" s="5" t="s">
        <v>30</v>
      </c>
      <c r="B1" s="5" t="s">
        <v>31</v>
      </c>
    </row>
    <row r="2" spans="1:3" x14ac:dyDescent="0.2">
      <c r="A2" t="s">
        <v>32</v>
      </c>
      <c r="B2">
        <v>30</v>
      </c>
      <c r="C2" t="str">
        <f>A2&amp;" "&amp;B2&amp;" tons"</f>
        <v>Upper Arm Actuator 30 tons</v>
      </c>
    </row>
    <row r="3" spans="1:3" x14ac:dyDescent="0.2">
      <c r="A3" t="s">
        <v>33</v>
      </c>
      <c r="B3">
        <v>30</v>
      </c>
      <c r="C3" t="str">
        <f>A3&amp;" "&amp;B3&amp;" tons"</f>
        <v>Lower Arm Actuator 30 tons</v>
      </c>
    </row>
    <row r="4" spans="1:3" x14ac:dyDescent="0.2">
      <c r="A4" t="s">
        <v>34</v>
      </c>
      <c r="B4">
        <v>30</v>
      </c>
      <c r="C4" t="str">
        <f>A4&amp;" "&amp;B4&amp;" tons"</f>
        <v>Hand Actuator 30 tons</v>
      </c>
    </row>
    <row r="5" spans="1:3" x14ac:dyDescent="0.2">
      <c r="A5" t="s">
        <v>35</v>
      </c>
      <c r="B5">
        <v>30</v>
      </c>
      <c r="C5" t="str">
        <f>A5&amp;" "&amp;B5&amp;" tons"</f>
        <v>Upper Leg Actuator 30 tons</v>
      </c>
    </row>
    <row r="6" spans="1:3" x14ac:dyDescent="0.2">
      <c r="A6" t="s">
        <v>36</v>
      </c>
      <c r="B6">
        <v>30</v>
      </c>
      <c r="C6" t="str">
        <f>A6&amp;" "&amp;B6&amp;" tons"</f>
        <v>Foot Actuator 30 tons</v>
      </c>
    </row>
    <row r="7" spans="1:3" x14ac:dyDescent="0.2">
      <c r="A7" t="s">
        <v>37</v>
      </c>
      <c r="B7">
        <v>0</v>
      </c>
      <c r="C7" t="str">
        <f>A7&amp;" "&amp;B7&amp;" tons"</f>
        <v>Mech Life Support System 0 tons</v>
      </c>
    </row>
    <row r="8" spans="1:3" x14ac:dyDescent="0.2">
      <c r="A8" t="s">
        <v>38</v>
      </c>
      <c r="B8">
        <v>30</v>
      </c>
      <c r="C8" t="str">
        <f>A8&amp;" "&amp;B8&amp;" tons"</f>
        <v>Mech Sensors 30 tons</v>
      </c>
    </row>
    <row r="9" spans="1:3" x14ac:dyDescent="0.2">
      <c r="A9" t="s">
        <v>38</v>
      </c>
      <c r="B9">
        <v>50</v>
      </c>
      <c r="C9" t="str">
        <f>A9&amp;" "&amp;B9&amp;" tons"</f>
        <v>Mech Sensors 50 tons</v>
      </c>
    </row>
    <row r="10" spans="1:3" x14ac:dyDescent="0.2">
      <c r="A10" t="s">
        <v>38</v>
      </c>
      <c r="B10">
        <v>55</v>
      </c>
      <c r="C10" t="str">
        <f>A10&amp;" "&amp;B10&amp;" tons"</f>
        <v>Mech Sensors 55 tons</v>
      </c>
    </row>
    <row r="11" spans="1:3" x14ac:dyDescent="0.2">
      <c r="A11" t="s">
        <v>38</v>
      </c>
      <c r="B11">
        <v>65</v>
      </c>
      <c r="C11" t="str">
        <f>A11&amp;" "&amp;B11&amp;" tons"</f>
        <v>Mech Sensors 65 tons</v>
      </c>
    </row>
    <row r="12" spans="1:3" x14ac:dyDescent="0.2">
      <c r="A12" t="s">
        <v>38</v>
      </c>
      <c r="B12">
        <v>70</v>
      </c>
      <c r="C12" t="str">
        <f>A12&amp;" "&amp;B12&amp;" tons"</f>
        <v>Mech Sensors 70 tons</v>
      </c>
    </row>
    <row r="13" spans="1:3" x14ac:dyDescent="0.2">
      <c r="A13" t="s">
        <v>38</v>
      </c>
      <c r="B13">
        <v>75</v>
      </c>
      <c r="C13" t="str">
        <f>A13&amp;" "&amp;B13&amp;" tons"</f>
        <v>Mech Sensors 75 tons</v>
      </c>
    </row>
    <row r="14" spans="1:3" x14ac:dyDescent="0.2">
      <c r="A14" t="s">
        <v>38</v>
      </c>
      <c r="B14">
        <v>85</v>
      </c>
      <c r="C14" t="str">
        <f>A14&amp;" "&amp;B14&amp;" tons"</f>
        <v>Mech Sensors 85 tons</v>
      </c>
    </row>
    <row r="15" spans="1:3" x14ac:dyDescent="0.2">
      <c r="A15" t="s">
        <v>32</v>
      </c>
      <c r="B15">
        <v>30</v>
      </c>
      <c r="C15" t="str">
        <f>A15&amp;" "&amp;B15&amp;" tons"</f>
        <v>Upper Arm Actuator 30 tons</v>
      </c>
    </row>
    <row r="16" spans="1:3" x14ac:dyDescent="0.2">
      <c r="A16" t="s">
        <v>32</v>
      </c>
      <c r="B16">
        <v>50</v>
      </c>
      <c r="C16" t="str">
        <f>A16&amp;" "&amp;B16&amp;" tons"</f>
        <v>Upper Arm Actuator 50 tons</v>
      </c>
    </row>
    <row r="17" spans="1:3" x14ac:dyDescent="0.2">
      <c r="A17" t="s">
        <v>32</v>
      </c>
      <c r="B17">
        <v>55</v>
      </c>
      <c r="C17" t="str">
        <f>A17&amp;" "&amp;B17&amp;" tons"</f>
        <v>Upper Arm Actuator 55 tons</v>
      </c>
    </row>
    <row r="18" spans="1:3" x14ac:dyDescent="0.2">
      <c r="A18" t="s">
        <v>32</v>
      </c>
      <c r="B18">
        <v>65</v>
      </c>
      <c r="C18" t="str">
        <f>A18&amp;" "&amp;B18&amp;" tons"</f>
        <v>Upper Arm Actuator 65 tons</v>
      </c>
    </row>
    <row r="19" spans="1:3" x14ac:dyDescent="0.2">
      <c r="A19" t="s">
        <v>32</v>
      </c>
      <c r="B19">
        <v>70</v>
      </c>
      <c r="C19" t="str">
        <f>A19&amp;" "&amp;B19&amp;" tons"</f>
        <v>Upper Arm Actuator 70 tons</v>
      </c>
    </row>
    <row r="20" spans="1:3" x14ac:dyDescent="0.2">
      <c r="A20" t="s">
        <v>32</v>
      </c>
      <c r="B20">
        <v>75</v>
      </c>
      <c r="C20" t="str">
        <f>A20&amp;" "&amp;B20&amp;" tons"</f>
        <v>Upper Arm Actuator 75 tons</v>
      </c>
    </row>
    <row r="21" spans="1:3" x14ac:dyDescent="0.2">
      <c r="A21" t="s">
        <v>32</v>
      </c>
      <c r="B21">
        <v>85</v>
      </c>
      <c r="C21" t="str">
        <f>A21&amp;" "&amp;B21&amp;" tons"</f>
        <v>Upper Arm Actuator 85 tons</v>
      </c>
    </row>
    <row r="22" spans="1:3" x14ac:dyDescent="0.2">
      <c r="A22" t="s">
        <v>33</v>
      </c>
      <c r="B22">
        <v>30</v>
      </c>
      <c r="C22" t="str">
        <f>A22&amp;" "&amp;B22&amp;" tons"</f>
        <v>Lower Arm Actuator 30 tons</v>
      </c>
    </row>
    <row r="23" spans="1:3" x14ac:dyDescent="0.2">
      <c r="A23" t="s">
        <v>33</v>
      </c>
      <c r="B23">
        <v>50</v>
      </c>
      <c r="C23" t="str">
        <f>A23&amp;" "&amp;B23&amp;" tons"</f>
        <v>Lower Arm Actuator 50 tons</v>
      </c>
    </row>
    <row r="24" spans="1:3" x14ac:dyDescent="0.2">
      <c r="A24" t="s">
        <v>33</v>
      </c>
      <c r="B24">
        <v>65</v>
      </c>
      <c r="C24" t="str">
        <f>A24&amp;" "&amp;B24&amp;" tons"</f>
        <v>Lower Arm Actuator 65 tons</v>
      </c>
    </row>
    <row r="25" spans="1:3" x14ac:dyDescent="0.2">
      <c r="A25" t="s">
        <v>33</v>
      </c>
      <c r="B25">
        <v>70</v>
      </c>
      <c r="C25" t="str">
        <f>A25&amp;" "&amp;B25&amp;" tons"</f>
        <v>Lower Arm Actuator 70 tons</v>
      </c>
    </row>
    <row r="26" spans="1:3" x14ac:dyDescent="0.2">
      <c r="A26" t="s">
        <v>33</v>
      </c>
      <c r="B26">
        <v>75</v>
      </c>
      <c r="C26" t="str">
        <f>A26&amp;" "&amp;B26&amp;" tons"</f>
        <v>Lower Arm Actuator 75 tons</v>
      </c>
    </row>
    <row r="27" spans="1:3" x14ac:dyDescent="0.2">
      <c r="A27" t="s">
        <v>33</v>
      </c>
      <c r="B27">
        <v>85</v>
      </c>
      <c r="C27" t="str">
        <f>A27&amp;" "&amp;B27&amp;" tons"</f>
        <v>Lower Arm Actuator 85 tons</v>
      </c>
    </row>
    <row r="28" spans="1:3" x14ac:dyDescent="0.2">
      <c r="A28" t="s">
        <v>34</v>
      </c>
      <c r="B28">
        <v>30</v>
      </c>
      <c r="C28" t="str">
        <f>A28&amp;" "&amp;B28&amp;" tons"</f>
        <v>Hand Actuator 30 tons</v>
      </c>
    </row>
    <row r="29" spans="1:3" x14ac:dyDescent="0.2">
      <c r="A29" t="s">
        <v>34</v>
      </c>
      <c r="B29">
        <v>50</v>
      </c>
      <c r="C29" t="str">
        <f>A29&amp;" "&amp;B29&amp;" tons"</f>
        <v>Hand Actuator 50 tons</v>
      </c>
    </row>
    <row r="30" spans="1:3" x14ac:dyDescent="0.2">
      <c r="A30" t="s">
        <v>34</v>
      </c>
      <c r="B30">
        <v>55</v>
      </c>
      <c r="C30" t="str">
        <f>A30&amp;" "&amp;B30&amp;" tons"</f>
        <v>Hand Actuator 55 tons</v>
      </c>
    </row>
    <row r="31" spans="1:3" x14ac:dyDescent="0.2">
      <c r="A31" t="s">
        <v>34</v>
      </c>
      <c r="B31">
        <v>65</v>
      </c>
      <c r="C31" t="str">
        <f>A31&amp;" "&amp;B31&amp;" tons"</f>
        <v>Hand Actuator 65 tons</v>
      </c>
    </row>
    <row r="32" spans="1:3" x14ac:dyDescent="0.2">
      <c r="A32" t="s">
        <v>34</v>
      </c>
      <c r="B32">
        <v>70</v>
      </c>
      <c r="C32" t="str">
        <f>A32&amp;" "&amp;B32&amp;" tons"</f>
        <v>Hand Actuator 70 tons</v>
      </c>
    </row>
    <row r="33" spans="1:3" x14ac:dyDescent="0.2">
      <c r="A33" t="s">
        <v>34</v>
      </c>
      <c r="B33">
        <v>75</v>
      </c>
      <c r="C33" t="str">
        <f>A33&amp;" "&amp;B33&amp;" tons"</f>
        <v>Hand Actuator 75 tons</v>
      </c>
    </row>
    <row r="34" spans="1:3" x14ac:dyDescent="0.2">
      <c r="A34" t="s">
        <v>34</v>
      </c>
      <c r="B34">
        <v>85</v>
      </c>
      <c r="C34" t="str">
        <f>A34&amp;" "&amp;B34&amp;" tons"</f>
        <v>Hand Actuator 85 tons</v>
      </c>
    </row>
    <row r="35" spans="1:3" x14ac:dyDescent="0.2">
      <c r="A35" t="s">
        <v>35</v>
      </c>
      <c r="B35">
        <v>30</v>
      </c>
      <c r="C35" t="str">
        <f>A35&amp;" "&amp;B35&amp;" tons"</f>
        <v>Upper Leg Actuator 30 tons</v>
      </c>
    </row>
    <row r="36" spans="1:3" x14ac:dyDescent="0.2">
      <c r="A36" t="s">
        <v>35</v>
      </c>
      <c r="B36">
        <v>50</v>
      </c>
      <c r="C36" t="str">
        <f>A36&amp;" "&amp;B36&amp;" tons"</f>
        <v>Upper Leg Actuator 50 tons</v>
      </c>
    </row>
    <row r="37" spans="1:3" x14ac:dyDescent="0.2">
      <c r="A37" t="s">
        <v>35</v>
      </c>
      <c r="B37">
        <v>55</v>
      </c>
      <c r="C37" t="str">
        <f>A37&amp;" "&amp;B37&amp;" tons"</f>
        <v>Upper Leg Actuator 55 tons</v>
      </c>
    </row>
    <row r="38" spans="1:3" x14ac:dyDescent="0.2">
      <c r="A38" t="s">
        <v>35</v>
      </c>
      <c r="B38">
        <v>65</v>
      </c>
      <c r="C38" t="str">
        <f>A38&amp;" "&amp;B38&amp;" tons"</f>
        <v>Upper Leg Actuator 65 tons</v>
      </c>
    </row>
    <row r="39" spans="1:3" x14ac:dyDescent="0.2">
      <c r="A39" t="s">
        <v>35</v>
      </c>
      <c r="B39">
        <v>70</v>
      </c>
      <c r="C39" t="str">
        <f>A39&amp;" "&amp;B39&amp;" tons"</f>
        <v>Upper Leg Actuator 70 tons</v>
      </c>
    </row>
    <row r="40" spans="1:3" x14ac:dyDescent="0.2">
      <c r="A40" t="s">
        <v>35</v>
      </c>
      <c r="B40">
        <v>75</v>
      </c>
      <c r="C40" t="str">
        <f>A40&amp;" "&amp;B40&amp;" tons"</f>
        <v>Upper Leg Actuator 75 tons</v>
      </c>
    </row>
    <row r="41" spans="1:3" x14ac:dyDescent="0.2">
      <c r="A41" t="s">
        <v>35</v>
      </c>
      <c r="B41">
        <v>85</v>
      </c>
      <c r="C41" t="str">
        <f>A41&amp;" "&amp;B41&amp;" tons"</f>
        <v>Upper Leg Actuator 85 tons</v>
      </c>
    </row>
    <row r="42" spans="1:3" x14ac:dyDescent="0.2">
      <c r="A42" t="s">
        <v>39</v>
      </c>
      <c r="B42">
        <v>30</v>
      </c>
      <c r="C42" t="str">
        <f>A42&amp;" "&amp;B42&amp;" tons"</f>
        <v>Lower Leg Actuator 30 tons</v>
      </c>
    </row>
    <row r="43" spans="1:3" x14ac:dyDescent="0.2">
      <c r="A43" t="s">
        <v>39</v>
      </c>
      <c r="B43">
        <v>50</v>
      </c>
      <c r="C43" t="str">
        <f>A43&amp;" "&amp;B43&amp;" tons"</f>
        <v>Lower Leg Actuator 50 tons</v>
      </c>
    </row>
    <row r="44" spans="1:3" x14ac:dyDescent="0.2">
      <c r="A44" t="s">
        <v>39</v>
      </c>
      <c r="B44">
        <v>55</v>
      </c>
      <c r="C44" t="str">
        <f>A44&amp;" "&amp;B44&amp;" tons"</f>
        <v>Lower Leg Actuator 55 tons</v>
      </c>
    </row>
    <row r="45" spans="1:3" x14ac:dyDescent="0.2">
      <c r="A45" t="s">
        <v>39</v>
      </c>
      <c r="B45">
        <v>65</v>
      </c>
      <c r="C45" t="str">
        <f>A45&amp;" "&amp;B45&amp;" tons"</f>
        <v>Lower Leg Actuator 65 tons</v>
      </c>
    </row>
    <row r="46" spans="1:3" x14ac:dyDescent="0.2">
      <c r="A46" t="s">
        <v>39</v>
      </c>
      <c r="B46">
        <v>70</v>
      </c>
      <c r="C46" t="str">
        <f>A46&amp;" "&amp;B46&amp;" tons"</f>
        <v>Lower Leg Actuator 70 tons</v>
      </c>
    </row>
    <row r="47" spans="1:3" x14ac:dyDescent="0.2">
      <c r="A47" t="s">
        <v>39</v>
      </c>
      <c r="B47">
        <v>75</v>
      </c>
      <c r="C47" t="str">
        <f>A47&amp;" "&amp;B47&amp;" tons"</f>
        <v>Lower Leg Actuator 75 tons</v>
      </c>
    </row>
    <row r="48" spans="1:3" x14ac:dyDescent="0.2">
      <c r="A48" t="s">
        <v>39</v>
      </c>
      <c r="B48">
        <v>85</v>
      </c>
      <c r="C48" t="str">
        <f>A48&amp;" "&amp;B48&amp;" tons"</f>
        <v>Lower Leg Actuator 85 tons</v>
      </c>
    </row>
    <row r="49" spans="1:3" x14ac:dyDescent="0.2">
      <c r="A49" t="s">
        <v>36</v>
      </c>
      <c r="B49">
        <v>30</v>
      </c>
      <c r="C49" t="str">
        <f>A49&amp;" "&amp;B49&amp;" tons"</f>
        <v>Foot Actuator 30 tons</v>
      </c>
    </row>
    <row r="50" spans="1:3" x14ac:dyDescent="0.2">
      <c r="A50" t="s">
        <v>36</v>
      </c>
      <c r="B50">
        <v>50</v>
      </c>
      <c r="C50" t="str">
        <f>A50&amp;" "&amp;B50&amp;" tons"</f>
        <v>Foot Actuator 50 tons</v>
      </c>
    </row>
    <row r="51" spans="1:3" x14ac:dyDescent="0.2">
      <c r="A51" t="s">
        <v>36</v>
      </c>
      <c r="B51">
        <v>55</v>
      </c>
      <c r="C51" t="str">
        <f>A51&amp;" "&amp;B51&amp;" tons"</f>
        <v>Foot Actuator 55 tons</v>
      </c>
    </row>
    <row r="52" spans="1:3" x14ac:dyDescent="0.2">
      <c r="A52" t="s">
        <v>36</v>
      </c>
      <c r="B52">
        <v>65</v>
      </c>
      <c r="C52" t="str">
        <f>A52&amp;" "&amp;B52&amp;" tons"</f>
        <v>Foot Actuator 65 tons</v>
      </c>
    </row>
    <row r="53" spans="1:3" x14ac:dyDescent="0.2">
      <c r="A53" t="s">
        <v>36</v>
      </c>
      <c r="B53">
        <v>85</v>
      </c>
      <c r="C53" t="str">
        <f>A53&amp;" "&amp;B53&amp;" tons"</f>
        <v>Foot Actuator 85 tons</v>
      </c>
    </row>
    <row r="54" spans="1:3" x14ac:dyDescent="0.2">
      <c r="A54" t="s">
        <v>40</v>
      </c>
      <c r="B54">
        <v>2900</v>
      </c>
      <c r="C54" t="str">
        <f>A54&amp;" "&amp;B54&amp;" tons"</f>
        <v>Spacecraft Cooling System 2900 tons</v>
      </c>
    </row>
    <row r="55" spans="1:3" x14ac:dyDescent="0.2">
      <c r="A55" t="s">
        <v>41</v>
      </c>
      <c r="B55">
        <v>80</v>
      </c>
      <c r="C55" t="str">
        <f>A55&amp;" "&amp;B55&amp;" tons"</f>
        <v>Vehicle Stabiliser 80 tons</v>
      </c>
    </row>
    <row r="56" spans="1:3" x14ac:dyDescent="0.2">
      <c r="A56" t="s">
        <v>37</v>
      </c>
      <c r="B56">
        <v>20</v>
      </c>
      <c r="C56" t="str">
        <f>A56&amp;" "&amp;B56&amp;" tons"</f>
        <v>Mech Life Support System 20 tons</v>
      </c>
    </row>
    <row r="57" spans="1:3" x14ac:dyDescent="0.2">
      <c r="A57" t="s">
        <v>38</v>
      </c>
      <c r="B57">
        <v>20</v>
      </c>
      <c r="C57" t="str">
        <f>A57&amp;" "&amp;B57&amp;" tons"</f>
        <v>Mech Sensors 20 tons</v>
      </c>
    </row>
    <row r="58" spans="1:3" x14ac:dyDescent="0.2">
      <c r="A58" t="s">
        <v>35</v>
      </c>
      <c r="B58">
        <v>20</v>
      </c>
      <c r="C58" t="str">
        <f>A58&amp;" "&amp;B58&amp;" tons"</f>
        <v>Upper Leg Actuator 20 tons</v>
      </c>
    </row>
    <row r="59" spans="1:3" x14ac:dyDescent="0.2">
      <c r="A59" t="s">
        <v>39</v>
      </c>
      <c r="B59">
        <v>20</v>
      </c>
      <c r="C59" t="str">
        <f>A59&amp;" "&amp;B59&amp;" tons"</f>
        <v>Lower Leg Actuator 20 tons</v>
      </c>
    </row>
    <row r="60" spans="1:3" x14ac:dyDescent="0.2">
      <c r="A60" t="s">
        <v>36</v>
      </c>
      <c r="B60">
        <v>20</v>
      </c>
      <c r="C60" t="str">
        <f>A60&amp;" "&amp;B60&amp;" tons"</f>
        <v>Foot Actuator 20 tons</v>
      </c>
    </row>
    <row r="61" spans="1:3" x14ac:dyDescent="0.2">
      <c r="A61" t="s">
        <v>32</v>
      </c>
      <c r="B61">
        <v>60</v>
      </c>
      <c r="C61" t="str">
        <f>A61&amp;" "&amp;B61&amp;" tons"</f>
        <v>Upper Arm Actuator 60 tons</v>
      </c>
    </row>
    <row r="62" spans="1:3" x14ac:dyDescent="0.2">
      <c r="A62" t="s">
        <v>33</v>
      </c>
      <c r="B62">
        <v>60</v>
      </c>
      <c r="C62" t="str">
        <f>A62&amp;" "&amp;B62&amp;" tons"</f>
        <v>Lower Arm Actuator 60 tons</v>
      </c>
    </row>
    <row r="63" spans="1:3" x14ac:dyDescent="0.2">
      <c r="A63" t="s">
        <v>35</v>
      </c>
      <c r="B63">
        <v>60</v>
      </c>
      <c r="C63" t="str">
        <f>A63&amp;" "&amp;B63&amp;" tons"</f>
        <v>Upper Leg Actuator 60 tons</v>
      </c>
    </row>
    <row r="64" spans="1:3" x14ac:dyDescent="0.2">
      <c r="A64" t="s">
        <v>39</v>
      </c>
      <c r="B64">
        <v>60</v>
      </c>
      <c r="C64" t="str">
        <f>A64&amp;" "&amp;B64&amp;" tons"</f>
        <v>Lower Leg Actuator 60 tons</v>
      </c>
    </row>
    <row r="65" spans="1:3" x14ac:dyDescent="0.2">
      <c r="A65" t="s">
        <v>36</v>
      </c>
      <c r="B65">
        <v>60</v>
      </c>
      <c r="C65" t="str">
        <f>A65&amp;" "&amp;B65&amp;" tons"</f>
        <v>Foot Actuator 60 tons</v>
      </c>
    </row>
    <row r="66" spans="1:3" x14ac:dyDescent="0.2">
      <c r="A66" t="s">
        <v>37</v>
      </c>
      <c r="B66">
        <v>50</v>
      </c>
      <c r="C66" t="str">
        <f>A66&amp;" "&amp;B66&amp;" tons"</f>
        <v>Mech Life Support System 50 tons</v>
      </c>
    </row>
    <row r="67" spans="1:3" x14ac:dyDescent="0.2">
      <c r="A67" t="s">
        <v>32</v>
      </c>
      <c r="B67">
        <v>50</v>
      </c>
      <c r="C67" t="str">
        <f>A67&amp;" "&amp;B67&amp;" tons"</f>
        <v>Upper Arm Actuator 50 tons</v>
      </c>
    </row>
    <row r="68" spans="1:3" x14ac:dyDescent="0.2">
      <c r="A68" t="s">
        <v>41</v>
      </c>
      <c r="B68">
        <v>100</v>
      </c>
      <c r="C68" t="str">
        <f>A68&amp;" "&amp;B68&amp;" tons"</f>
        <v>Vehicle Stabiliser 100 tons</v>
      </c>
    </row>
    <row r="69" spans="1:3" x14ac:dyDescent="0.2">
      <c r="A69" t="s">
        <v>38</v>
      </c>
      <c r="B69">
        <v>35</v>
      </c>
      <c r="C69" t="str">
        <f>A69&amp;" "&amp;B69&amp;" tons"</f>
        <v>Mech Sensors 35 tons</v>
      </c>
    </row>
    <row r="70" spans="1:3" x14ac:dyDescent="0.2">
      <c r="A70" t="s">
        <v>32</v>
      </c>
      <c r="B70">
        <v>35</v>
      </c>
      <c r="C70" t="str">
        <f>A70&amp;" "&amp;B70&amp;" tons"</f>
        <v>Upper Arm Actuator 35 tons</v>
      </c>
    </row>
    <row r="71" spans="1:3" x14ac:dyDescent="0.2">
      <c r="A71" t="s">
        <v>33</v>
      </c>
      <c r="B71">
        <v>35</v>
      </c>
      <c r="C71" t="str">
        <f>A71&amp;" "&amp;B71&amp;" tons"</f>
        <v>Lower Arm Actuator 35 tons</v>
      </c>
    </row>
    <row r="72" spans="1:3" x14ac:dyDescent="0.2">
      <c r="A72" t="s">
        <v>34</v>
      </c>
      <c r="B72">
        <v>35</v>
      </c>
      <c r="C72" t="str">
        <f>A72&amp;" "&amp;B72&amp;" tons"</f>
        <v>Hand Actuator 35 tons</v>
      </c>
    </row>
    <row r="73" spans="1:3" x14ac:dyDescent="0.2">
      <c r="A73" t="s">
        <v>35</v>
      </c>
      <c r="B73">
        <v>35</v>
      </c>
      <c r="C73" t="str">
        <f>A73&amp;" "&amp;B73&amp;" tons"</f>
        <v>Upper Leg Actuator 35 tons</v>
      </c>
    </row>
    <row r="74" spans="1:3" x14ac:dyDescent="0.2">
      <c r="A74" t="s">
        <v>39</v>
      </c>
      <c r="B74">
        <v>35</v>
      </c>
      <c r="C74" t="str">
        <f>A74&amp;" "&amp;B74&amp;" tons"</f>
        <v>Lower Leg Actuator 35 tons</v>
      </c>
    </row>
    <row r="75" spans="1:3" x14ac:dyDescent="0.2">
      <c r="A75" t="s">
        <v>36</v>
      </c>
      <c r="B75">
        <v>35</v>
      </c>
      <c r="C75" t="str">
        <f>A75&amp;" "&amp;B75&amp;" tons"</f>
        <v>Foot Actuator 35 tons</v>
      </c>
    </row>
    <row r="76" spans="1:3" x14ac:dyDescent="0.2">
      <c r="A76" t="s">
        <v>38</v>
      </c>
      <c r="B76">
        <v>60</v>
      </c>
      <c r="C76" t="str">
        <f>A76&amp;" "&amp;B76&amp;" tons"</f>
        <v>Mech Sensors 60 tons</v>
      </c>
    </row>
    <row r="77" spans="1:3" x14ac:dyDescent="0.2">
      <c r="A77" t="s">
        <v>33</v>
      </c>
      <c r="B77">
        <v>50</v>
      </c>
      <c r="C77" t="str">
        <f>A77&amp;" "&amp;B77&amp;" tons"</f>
        <v>Lower Arm Actuator 50 tons</v>
      </c>
    </row>
    <row r="78" spans="1:3" x14ac:dyDescent="0.2">
      <c r="A78" t="s">
        <v>41</v>
      </c>
      <c r="B78">
        <v>21</v>
      </c>
      <c r="C78" t="str">
        <f>A78&amp;" "&amp;B78&amp;" tons"</f>
        <v>Vehicle Stabiliser 21 tons</v>
      </c>
    </row>
    <row r="79" spans="1:3" x14ac:dyDescent="0.2">
      <c r="A79" t="s">
        <v>35</v>
      </c>
      <c r="B79">
        <v>75</v>
      </c>
      <c r="C79" t="str">
        <f>A79&amp;" "&amp;B79&amp;" tons"</f>
        <v>Upper Leg Actuator 75 tons</v>
      </c>
    </row>
    <row r="80" spans="1:3" x14ac:dyDescent="0.2">
      <c r="A80" t="s">
        <v>39</v>
      </c>
      <c r="B80">
        <v>75</v>
      </c>
      <c r="C80" t="str">
        <f>A80&amp;" "&amp;B80&amp;" tons"</f>
        <v>Lower Leg Actuator 75 tons</v>
      </c>
    </row>
    <row r="81" spans="1:3" x14ac:dyDescent="0.2">
      <c r="A81" t="s">
        <v>36</v>
      </c>
      <c r="B81">
        <v>75</v>
      </c>
      <c r="C81" t="str">
        <f>A81&amp;" "&amp;B81&amp;" tons"</f>
        <v>Foot Actuator 75 tons</v>
      </c>
    </row>
    <row r="82" spans="1:3" x14ac:dyDescent="0.2">
      <c r="A82" t="s">
        <v>35</v>
      </c>
      <c r="B82">
        <v>70</v>
      </c>
      <c r="C82" t="str">
        <f>A82&amp;" "&amp;B82&amp;" tons"</f>
        <v>Upper Leg Actuator 70 tons</v>
      </c>
    </row>
    <row r="83" spans="1:3" x14ac:dyDescent="0.2">
      <c r="A83" t="s">
        <v>39</v>
      </c>
      <c r="B83">
        <v>70</v>
      </c>
      <c r="C83" t="str">
        <f>A83&amp;" "&amp;B83&amp;" tons"</f>
        <v>Lower Leg Actuator 70 tons</v>
      </c>
    </row>
    <row r="84" spans="1:3" x14ac:dyDescent="0.2">
      <c r="A84" t="s">
        <v>36</v>
      </c>
      <c r="B84">
        <v>70</v>
      </c>
      <c r="C84" t="str">
        <f>A84&amp;" "&amp;B84&amp;" tons"</f>
        <v>Foot Actuator 70 tons</v>
      </c>
    </row>
    <row r="85" spans="1:3" x14ac:dyDescent="0.2">
      <c r="A85" t="s">
        <v>39</v>
      </c>
      <c r="B85">
        <v>60</v>
      </c>
      <c r="C85" t="str">
        <f>A85&amp;" "&amp;B85&amp;" tons"</f>
        <v>Lower Leg Actuator 60 tons</v>
      </c>
    </row>
    <row r="86" spans="1:3" x14ac:dyDescent="0.2">
      <c r="A86" t="s">
        <v>36</v>
      </c>
      <c r="B86">
        <v>60</v>
      </c>
      <c r="C86" t="str">
        <f>A86&amp;" "&amp;B86&amp;" tons"</f>
        <v>Foot Actuator 60 tons</v>
      </c>
    </row>
    <row r="87" spans="1:3" x14ac:dyDescent="0.2">
      <c r="A87" t="s">
        <v>41</v>
      </c>
      <c r="B87">
        <v>60</v>
      </c>
      <c r="C87" t="str">
        <f>A87&amp;" "&amp;B87&amp;" tons"</f>
        <v>Vehicle Stabiliser 60 tons</v>
      </c>
    </row>
    <row r="88" spans="1:3" x14ac:dyDescent="0.2">
      <c r="A88" t="s">
        <v>38</v>
      </c>
      <c r="B88">
        <v>40</v>
      </c>
      <c r="C88" t="str">
        <f>A88&amp;" "&amp;B88&amp;" tons"</f>
        <v>Mech Sensors 40 tons</v>
      </c>
    </row>
    <row r="89" spans="1:3" x14ac:dyDescent="0.2">
      <c r="A89" t="s">
        <v>32</v>
      </c>
      <c r="B89">
        <v>40</v>
      </c>
      <c r="C89" t="str">
        <f>A89&amp;" "&amp;B89&amp;" tons"</f>
        <v>Upper Arm Actuator 40 tons</v>
      </c>
    </row>
    <row r="90" spans="1:3" x14ac:dyDescent="0.2">
      <c r="A90" t="s">
        <v>33</v>
      </c>
      <c r="B90">
        <v>40</v>
      </c>
      <c r="C90" t="str">
        <f>A90&amp;" "&amp;B90&amp;" tons"</f>
        <v>Lower Arm Actuator 40 tons</v>
      </c>
    </row>
    <row r="91" spans="1:3" x14ac:dyDescent="0.2">
      <c r="A91" t="s">
        <v>35</v>
      </c>
      <c r="B91">
        <v>40</v>
      </c>
      <c r="C91" t="str">
        <f>A91&amp;" "&amp;B91&amp;" tons"</f>
        <v>Upper Leg Actuator 40 tons</v>
      </c>
    </row>
    <row r="92" spans="1:3" x14ac:dyDescent="0.2">
      <c r="A92" t="s">
        <v>39</v>
      </c>
      <c r="B92">
        <v>40</v>
      </c>
      <c r="C92" t="str">
        <f>A92&amp;" "&amp;B92&amp;" tons"</f>
        <v>Lower Leg Actuator 40 tons</v>
      </c>
    </row>
    <row r="93" spans="1:3" x14ac:dyDescent="0.2">
      <c r="A93" t="s">
        <v>36</v>
      </c>
      <c r="B93">
        <v>40</v>
      </c>
      <c r="C93" t="str">
        <f>A93&amp;" "&amp;B93&amp;" tons"</f>
        <v>Foot Actuator 40 tons</v>
      </c>
    </row>
    <row r="94" spans="1:3" x14ac:dyDescent="0.2">
      <c r="A94" t="s">
        <v>42</v>
      </c>
      <c r="B94">
        <v>50</v>
      </c>
      <c r="C94" t="str">
        <f>A94&amp;" "&amp;B94&amp;" tons"</f>
        <v>Vehicle Sensors 50 tons</v>
      </c>
    </row>
    <row r="95" spans="1:3" x14ac:dyDescent="0.2">
      <c r="A95" t="s">
        <v>42</v>
      </c>
      <c r="B95">
        <v>10</v>
      </c>
      <c r="C95" t="str">
        <f>A95&amp;" "&amp;B95&amp;" tons"</f>
        <v>Vehicle Sensors 10 tons</v>
      </c>
    </row>
    <row r="96" spans="1:3" x14ac:dyDescent="0.2">
      <c r="A96" t="s">
        <v>32</v>
      </c>
      <c r="B96">
        <v>20</v>
      </c>
      <c r="C96" t="str">
        <f>A96&amp;" "&amp;B96&amp;" tons"</f>
        <v>Upper Arm Actuator 20 tons</v>
      </c>
    </row>
    <row r="97" spans="1:3" x14ac:dyDescent="0.2">
      <c r="A97" t="s">
        <v>32</v>
      </c>
      <c r="B97">
        <v>45</v>
      </c>
      <c r="C97" t="str">
        <f>A97&amp;" "&amp;B97&amp;" tons"</f>
        <v>Upper Arm Actuator 45 tons</v>
      </c>
    </row>
    <row r="98" spans="1:3" x14ac:dyDescent="0.2">
      <c r="A98" t="s">
        <v>33</v>
      </c>
      <c r="B98">
        <v>45</v>
      </c>
      <c r="C98" t="str">
        <f>A98&amp;" "&amp;B98&amp;" tons"</f>
        <v>Lower Arm Actuator 45 tons</v>
      </c>
    </row>
    <row r="99" spans="1:3" x14ac:dyDescent="0.2">
      <c r="A99" t="s">
        <v>34</v>
      </c>
      <c r="B99">
        <v>45</v>
      </c>
      <c r="C99" t="str">
        <f>A99&amp;" "&amp;B99&amp;" tons"</f>
        <v>Hand Actuator 45 tons</v>
      </c>
    </row>
    <row r="100" spans="1:3" x14ac:dyDescent="0.2">
      <c r="A100" t="s">
        <v>33</v>
      </c>
      <c r="B100">
        <v>55</v>
      </c>
      <c r="C100" t="str">
        <f>A100&amp;" "&amp;B100&amp;" tons"</f>
        <v>Lower Arm Actuator 55 tons</v>
      </c>
    </row>
    <row r="101" spans="1:3" x14ac:dyDescent="0.2">
      <c r="A101" t="s">
        <v>43</v>
      </c>
      <c r="B101">
        <v>20</v>
      </c>
      <c r="C101" t="str">
        <f>A101&amp;" "&amp;B101&amp;" tons"</f>
        <v>Mech Head 20 tons</v>
      </c>
    </row>
    <row r="102" spans="1:3" x14ac:dyDescent="0.2">
      <c r="A102" t="s">
        <v>43</v>
      </c>
      <c r="B102">
        <v>30</v>
      </c>
      <c r="C102" t="str">
        <f>A102&amp;" "&amp;B102&amp;" tons"</f>
        <v>Mech Head 30 tons</v>
      </c>
    </row>
    <row r="103" spans="1:3" x14ac:dyDescent="0.2">
      <c r="A103" t="s">
        <v>43</v>
      </c>
      <c r="B103">
        <v>35</v>
      </c>
      <c r="C103" t="str">
        <f>A103&amp;" "&amp;B103&amp;" tons"</f>
        <v>Mech Head 35 tons</v>
      </c>
    </row>
    <row r="104" spans="1:3" x14ac:dyDescent="0.2">
      <c r="A104" t="s">
        <v>44</v>
      </c>
      <c r="B104">
        <v>20</v>
      </c>
      <c r="C104" t="str">
        <f>A104&amp;" "&amp;B104&amp;" tons"</f>
        <v>Mech Right Leg 20 tons</v>
      </c>
    </row>
    <row r="105" spans="1:3" x14ac:dyDescent="0.2">
      <c r="A105" t="s">
        <v>45</v>
      </c>
      <c r="B105">
        <v>20</v>
      </c>
      <c r="C105" t="str">
        <f>A105&amp;" "&amp;B105&amp;" tons"</f>
        <v>Mech Left Leg 20 tons</v>
      </c>
    </row>
    <row r="106" spans="1:3" x14ac:dyDescent="0.2">
      <c r="A106" t="s">
        <v>43</v>
      </c>
      <c r="B106">
        <v>50</v>
      </c>
      <c r="C106" t="str">
        <f>A106&amp;" "&amp;B106&amp;" tons"</f>
        <v>Mech Head 50 tons</v>
      </c>
    </row>
    <row r="107" spans="1:3" x14ac:dyDescent="0.2">
      <c r="A107" t="s">
        <v>46</v>
      </c>
      <c r="B107">
        <v>30</v>
      </c>
      <c r="C107" t="str">
        <f>A107&amp;" "&amp;B107&amp;" tons"</f>
        <v>Mech Right Arm 30 tons</v>
      </c>
    </row>
    <row r="108" spans="1:3" x14ac:dyDescent="0.2">
      <c r="A108" t="s">
        <v>47</v>
      </c>
      <c r="B108">
        <v>30</v>
      </c>
      <c r="C108" t="str">
        <f>A108&amp;" "&amp;B108&amp;" tons"</f>
        <v>Mech Left Arm 30 tons</v>
      </c>
    </row>
    <row r="109" spans="1:3" x14ac:dyDescent="0.2">
      <c r="A109" t="s">
        <v>44</v>
      </c>
      <c r="B109">
        <v>30</v>
      </c>
      <c r="C109" t="str">
        <f>A109&amp;" "&amp;B109&amp;" tons"</f>
        <v>Mech Right Leg 30 tons</v>
      </c>
    </row>
    <row r="110" spans="1:3" x14ac:dyDescent="0.2">
      <c r="A110" t="s">
        <v>48</v>
      </c>
      <c r="B110">
        <v>20</v>
      </c>
      <c r="C110" t="str">
        <f>A110&amp;" "&amp;B110&amp;" tons"</f>
        <v>Mech Right Torso 20 tons</v>
      </c>
    </row>
    <row r="111" spans="1:3" x14ac:dyDescent="0.2">
      <c r="A111" t="s">
        <v>49</v>
      </c>
      <c r="B111">
        <v>20</v>
      </c>
      <c r="C111" t="str">
        <f>A111&amp;" "&amp;B111&amp;" tons"</f>
        <v>Mech Left Torso 20 tons</v>
      </c>
    </row>
    <row r="112" spans="1:3" x14ac:dyDescent="0.2">
      <c r="A112" t="s">
        <v>45</v>
      </c>
      <c r="B112">
        <v>30</v>
      </c>
      <c r="C112" t="str">
        <f>A112&amp;" "&amp;B112&amp;" tons"</f>
        <v>Mech Left Leg 30 tons</v>
      </c>
    </row>
    <row r="113" spans="1:3" x14ac:dyDescent="0.2">
      <c r="A113" t="s">
        <v>43</v>
      </c>
      <c r="B113">
        <v>60</v>
      </c>
      <c r="C113" t="str">
        <f>A113&amp;" "&amp;B113&amp;" tons"</f>
        <v>Mech Head 60 tons</v>
      </c>
    </row>
    <row r="114" spans="1:3" x14ac:dyDescent="0.2">
      <c r="A114" t="s">
        <v>43</v>
      </c>
      <c r="B114">
        <v>65</v>
      </c>
      <c r="C114" t="str">
        <f>A114&amp;" "&amp;B114&amp;" tons"</f>
        <v>Mech Head 65 tons</v>
      </c>
    </row>
    <row r="115" spans="1:3" x14ac:dyDescent="0.2">
      <c r="A115" t="s">
        <v>46</v>
      </c>
      <c r="B115">
        <v>35</v>
      </c>
      <c r="C115" t="str">
        <f>A115&amp;" "&amp;B115&amp;" tons"</f>
        <v>Mech Right Arm 35 tons</v>
      </c>
    </row>
    <row r="116" spans="1:3" x14ac:dyDescent="0.2">
      <c r="A116" t="s">
        <v>47</v>
      </c>
      <c r="B116">
        <v>35</v>
      </c>
      <c r="C116" t="str">
        <f>A116&amp;" "&amp;B116&amp;" tons"</f>
        <v>Mech Left Arm 35 tons</v>
      </c>
    </row>
    <row r="117" spans="1:3" x14ac:dyDescent="0.2">
      <c r="A117" t="s">
        <v>44</v>
      </c>
      <c r="B117">
        <v>35</v>
      </c>
      <c r="C117" t="str">
        <f>A117&amp;" "&amp;B117&amp;" tons"</f>
        <v>Mech Right Leg 35 tons</v>
      </c>
    </row>
    <row r="118" spans="1:3" x14ac:dyDescent="0.2">
      <c r="A118" t="s">
        <v>45</v>
      </c>
      <c r="B118">
        <v>35</v>
      </c>
      <c r="C118" t="str">
        <f>A118&amp;" "&amp;B118&amp;" tons"</f>
        <v>Mech Left Leg 35 tons</v>
      </c>
    </row>
    <row r="119" spans="1:3" x14ac:dyDescent="0.2">
      <c r="A119" t="s">
        <v>47</v>
      </c>
      <c r="B119">
        <v>40</v>
      </c>
      <c r="C119" t="str">
        <f>A119&amp;" "&amp;B119&amp;" tons"</f>
        <v>Mech Left Arm 40 tons</v>
      </c>
    </row>
    <row r="120" spans="1:3" x14ac:dyDescent="0.2">
      <c r="A120" t="s">
        <v>44</v>
      </c>
      <c r="B120">
        <v>40</v>
      </c>
      <c r="C120" t="str">
        <f>A120&amp;" "&amp;B120&amp;" tons"</f>
        <v>Mech Right Leg 40 tons</v>
      </c>
    </row>
    <row r="121" spans="1:3" x14ac:dyDescent="0.2">
      <c r="A121" t="s">
        <v>45</v>
      </c>
      <c r="B121">
        <v>40</v>
      </c>
      <c r="C121" t="str">
        <f>A121&amp;" "&amp;B121&amp;" tons"</f>
        <v>Mech Left Leg 40 tons</v>
      </c>
    </row>
    <row r="122" spans="1:3" x14ac:dyDescent="0.2">
      <c r="A122" t="s">
        <v>46</v>
      </c>
      <c r="B122">
        <v>40</v>
      </c>
      <c r="C122" t="str">
        <f>A122&amp;" "&amp;B122&amp;" tons"</f>
        <v>Mech Right Arm 40 tons</v>
      </c>
    </row>
    <row r="123" spans="1:3" x14ac:dyDescent="0.2">
      <c r="A123" t="s">
        <v>48</v>
      </c>
      <c r="B123">
        <v>30</v>
      </c>
      <c r="C123" t="str">
        <f>A123&amp;" "&amp;B123&amp;" tons"</f>
        <v>Mech Right Torso 30 tons</v>
      </c>
    </row>
    <row r="124" spans="1:3" x14ac:dyDescent="0.2">
      <c r="A124" t="s">
        <v>49</v>
      </c>
      <c r="B124">
        <v>30</v>
      </c>
      <c r="C124" t="str">
        <f>A124&amp;" "&amp;B124&amp;" tons"</f>
        <v>Mech Left Torso 30 tons</v>
      </c>
    </row>
    <row r="125" spans="1:3" x14ac:dyDescent="0.2">
      <c r="A125" t="s">
        <v>50</v>
      </c>
      <c r="B125">
        <v>30</v>
      </c>
      <c r="C125" t="str">
        <f>A125&amp;" "&amp;B125&amp;" tons"</f>
        <v>Jump Jet 30 tons</v>
      </c>
    </row>
    <row r="126" spans="1:3" x14ac:dyDescent="0.2">
      <c r="A126" t="s">
        <v>51</v>
      </c>
      <c r="B126">
        <v>30</v>
      </c>
      <c r="C126" t="str">
        <f>A126&amp;" "&amp;B126&amp;" tons"</f>
        <v>Machine Gun 30 tons</v>
      </c>
    </row>
    <row r="127" spans="1:3" x14ac:dyDescent="0.2">
      <c r="A127" t="s">
        <v>51</v>
      </c>
      <c r="B127">
        <v>20</v>
      </c>
      <c r="C127" t="str">
        <f>A127&amp;" "&amp;B127&amp;" tons"</f>
        <v>Machine Gun 20 tons</v>
      </c>
    </row>
    <row r="128" spans="1:3" x14ac:dyDescent="0.2">
      <c r="A128" t="s">
        <v>45</v>
      </c>
      <c r="B128">
        <v>50</v>
      </c>
      <c r="C128" t="str">
        <f>A128&amp;" "&amp;B128&amp;" tons"</f>
        <v>Mech Left Leg 50 tons</v>
      </c>
    </row>
    <row r="129" spans="1:3" x14ac:dyDescent="0.2">
      <c r="A129" t="s">
        <v>51</v>
      </c>
      <c r="B129">
        <v>100</v>
      </c>
      <c r="C129" t="str">
        <f>A129&amp;" "&amp;B129&amp;" tons"</f>
        <v>Machine Gun 100 tons</v>
      </c>
    </row>
    <row r="130" spans="1:3" x14ac:dyDescent="0.2">
      <c r="A130" t="s">
        <v>51</v>
      </c>
      <c r="B130">
        <v>100</v>
      </c>
      <c r="C130" t="str">
        <f>A130&amp;" "&amp;B130&amp;" tons"</f>
        <v>Machine Gun 100 tons</v>
      </c>
    </row>
    <row r="131" spans="1:3" x14ac:dyDescent="0.2">
      <c r="A131" t="s">
        <v>50</v>
      </c>
      <c r="B131">
        <v>55</v>
      </c>
      <c r="C131" t="str">
        <f>A131&amp;" "&amp;B131&amp;" tons"</f>
        <v>Jump Jet 55 tons</v>
      </c>
    </row>
    <row r="132" spans="1:3" x14ac:dyDescent="0.2">
      <c r="A132" t="s">
        <v>51</v>
      </c>
      <c r="B132">
        <v>60</v>
      </c>
      <c r="C132" t="str">
        <f>A132&amp;" "&amp;B132&amp;" tons"</f>
        <v>Machine Gun 60 tons</v>
      </c>
    </row>
    <row r="133" spans="1:3" x14ac:dyDescent="0.2">
      <c r="A133" t="s">
        <v>50</v>
      </c>
      <c r="B133">
        <v>40</v>
      </c>
      <c r="C133" t="str">
        <f>A133&amp;" "&amp;B133&amp;" tons"</f>
        <v>Jump Jet 40 tons</v>
      </c>
    </row>
    <row r="134" spans="1:3" x14ac:dyDescent="0.2">
      <c r="A134" t="s">
        <v>19</v>
      </c>
      <c r="B134">
        <v>45</v>
      </c>
      <c r="C134" t="str">
        <f>A134&amp;" "&amp;B134&amp;" tons"</f>
        <v>Small Laser 45 tons</v>
      </c>
    </row>
    <row r="135" spans="1:3" x14ac:dyDescent="0.2">
      <c r="A135" t="s">
        <v>50</v>
      </c>
      <c r="B135">
        <v>45</v>
      </c>
      <c r="C135" t="str">
        <f>A135&amp;" "&amp;B135&amp;" tons"</f>
        <v>Jump Jet 45 tons</v>
      </c>
    </row>
    <row r="136" spans="1:3" x14ac:dyDescent="0.2">
      <c r="A136" t="s">
        <v>48</v>
      </c>
      <c r="B136">
        <v>35</v>
      </c>
      <c r="C136" t="str">
        <f>A136&amp;" "&amp;B136&amp;" tons"</f>
        <v>Mech Right Torso 35 tons</v>
      </c>
    </row>
    <row r="137" spans="1:3" x14ac:dyDescent="0.2">
      <c r="A137" t="s">
        <v>49</v>
      </c>
      <c r="B137">
        <v>35</v>
      </c>
      <c r="C137" t="str">
        <f>A137&amp;" "&amp;B137&amp;" tons"</f>
        <v>Mech Left Torso 35 tons</v>
      </c>
    </row>
    <row r="138" spans="1:3" x14ac:dyDescent="0.2">
      <c r="A138" t="s">
        <v>47</v>
      </c>
      <c r="B138">
        <v>55</v>
      </c>
      <c r="C138" t="str">
        <f>A138&amp;" "&amp;B138&amp;" tons"</f>
        <v>Mech Left Arm 55 tons</v>
      </c>
    </row>
    <row r="139" spans="1:3" x14ac:dyDescent="0.2">
      <c r="A139" t="s">
        <v>47</v>
      </c>
      <c r="B139">
        <v>60</v>
      </c>
      <c r="C139" t="str">
        <f>A139&amp;" "&amp;B139&amp;" tons"</f>
        <v>Mech Left Arm 60 tons</v>
      </c>
    </row>
    <row r="140" spans="1:3" x14ac:dyDescent="0.2">
      <c r="A140" t="s">
        <v>45</v>
      </c>
      <c r="B140">
        <v>60</v>
      </c>
      <c r="C140" t="str">
        <f>A140&amp;" "&amp;B140&amp;" tons"</f>
        <v>Mech Left Leg 60 tons</v>
      </c>
    </row>
    <row r="141" spans="1:3" x14ac:dyDescent="0.2">
      <c r="A141" t="s">
        <v>46</v>
      </c>
      <c r="B141">
        <v>60</v>
      </c>
      <c r="C141" t="str">
        <f>A141&amp;" "&amp;B141&amp;" tons"</f>
        <v>Mech Right Arm 60 tons</v>
      </c>
    </row>
    <row r="142" spans="1:3" x14ac:dyDescent="0.2">
      <c r="A142" t="s">
        <v>48</v>
      </c>
      <c r="B142">
        <v>40</v>
      </c>
      <c r="C142" t="str">
        <f>A142&amp;" "&amp;B142&amp;" tons"</f>
        <v>Mech Right Torso 40 tons</v>
      </c>
    </row>
    <row r="143" spans="1:3" x14ac:dyDescent="0.2">
      <c r="A143" t="s">
        <v>44</v>
      </c>
      <c r="B143">
        <v>65</v>
      </c>
      <c r="C143" t="str">
        <f>A143&amp;" "&amp;B143&amp;" tons"</f>
        <v>Mech Right Leg 65 tons</v>
      </c>
    </row>
    <row r="144" spans="1:3" x14ac:dyDescent="0.2">
      <c r="A144" t="s">
        <v>45</v>
      </c>
      <c r="B144">
        <v>65</v>
      </c>
      <c r="C144" t="str">
        <f>A144&amp;" "&amp;B144&amp;" tons"</f>
        <v>Mech Left Leg 65 tons</v>
      </c>
    </row>
    <row r="145" spans="1:3" x14ac:dyDescent="0.2">
      <c r="A145" t="s">
        <v>46</v>
      </c>
      <c r="B145">
        <v>65</v>
      </c>
      <c r="C145" t="str">
        <f>A145&amp;" "&amp;B145&amp;" tons"</f>
        <v>Mech Right Arm 65 tons</v>
      </c>
    </row>
    <row r="146" spans="1:3" x14ac:dyDescent="0.2">
      <c r="A146" t="s">
        <v>49</v>
      </c>
      <c r="B146">
        <v>50</v>
      </c>
      <c r="C146" t="str">
        <f>A146&amp;" "&amp;B146&amp;" tons"</f>
        <v>Mech Left Torso 50 tons</v>
      </c>
    </row>
    <row r="147" spans="1:3" x14ac:dyDescent="0.2">
      <c r="A147" t="s">
        <v>48</v>
      </c>
      <c r="B147">
        <v>50</v>
      </c>
      <c r="C147" t="str">
        <f>A147&amp;" "&amp;B147&amp;" tons"</f>
        <v>Mech Right Torso 50 tons</v>
      </c>
    </row>
    <row r="148" spans="1:3" x14ac:dyDescent="0.2">
      <c r="A148" t="s">
        <v>49</v>
      </c>
      <c r="B148">
        <v>60</v>
      </c>
      <c r="C148" t="str">
        <f>A148&amp;" "&amp;B148&amp;" tons"</f>
        <v>Mech Left Torso 60 tons</v>
      </c>
    </row>
    <row r="149" spans="1:3" x14ac:dyDescent="0.2">
      <c r="A149" t="s">
        <v>48</v>
      </c>
      <c r="B149">
        <v>60</v>
      </c>
      <c r="C149" t="str">
        <f>A149&amp;" "&amp;B149&amp;" tons"</f>
        <v>Mech Right Torso 60 tons</v>
      </c>
    </row>
    <row r="150" spans="1:3" x14ac:dyDescent="0.2">
      <c r="A150" t="s">
        <v>52</v>
      </c>
      <c r="B150">
        <v>65</v>
      </c>
      <c r="C150" t="str">
        <f>A150&amp;" "&amp;B150&amp;" tons"</f>
        <v>Flamer 65 tons</v>
      </c>
    </row>
    <row r="151" spans="1:3" x14ac:dyDescent="0.2">
      <c r="A151" t="s">
        <v>53</v>
      </c>
      <c r="B151">
        <v>0</v>
      </c>
      <c r="C151" t="str">
        <f>A151&amp;" "&amp;B151&amp;" tons"</f>
        <v>Standard Gyro 0 tons</v>
      </c>
    </row>
    <row r="152" spans="1:3" x14ac:dyDescent="0.2">
      <c r="A152" t="s">
        <v>20</v>
      </c>
      <c r="B152">
        <v>30</v>
      </c>
      <c r="C152" t="str">
        <f>A152&amp;" "&amp;B152&amp;" tons"</f>
        <v>Medium Laser 30 tons</v>
      </c>
    </row>
    <row r="153" spans="1:3" x14ac:dyDescent="0.2">
      <c r="A153" t="s">
        <v>54</v>
      </c>
      <c r="B153">
        <v>55</v>
      </c>
      <c r="C153" t="str">
        <f>A153&amp;" "&amp;B153&amp;" tons"</f>
        <v>SRM 2 55 tons</v>
      </c>
    </row>
    <row r="154" spans="1:3" x14ac:dyDescent="0.2">
      <c r="A154" t="s">
        <v>55</v>
      </c>
      <c r="B154">
        <v>30</v>
      </c>
      <c r="C154" t="str">
        <f>A154&amp;" "&amp;B154&amp;" tons"</f>
        <v>Heat Sink 30 tons</v>
      </c>
    </row>
    <row r="155" spans="1:3" x14ac:dyDescent="0.2">
      <c r="A155" t="s">
        <v>20</v>
      </c>
      <c r="B155">
        <v>60</v>
      </c>
      <c r="C155" t="str">
        <f>A155&amp;" "&amp;B155&amp;" tons"</f>
        <v>Medium Laser 60 tons</v>
      </c>
    </row>
    <row r="156" spans="1:3" x14ac:dyDescent="0.2">
      <c r="A156" t="s">
        <v>54</v>
      </c>
      <c r="B156">
        <v>100</v>
      </c>
      <c r="C156" t="str">
        <f>A156&amp;" "&amp;B156&amp;" tons"</f>
        <v>SRM 2 100 tons</v>
      </c>
    </row>
    <row r="157" spans="1:3" x14ac:dyDescent="0.2">
      <c r="A157" t="s">
        <v>20</v>
      </c>
      <c r="B157">
        <v>50</v>
      </c>
      <c r="C157" t="str">
        <f>A157&amp;" "&amp;B157&amp;" tons"</f>
        <v>Medium Laser 50 tons</v>
      </c>
    </row>
    <row r="158" spans="1:3" x14ac:dyDescent="0.2">
      <c r="A158" t="s">
        <v>20</v>
      </c>
      <c r="B158">
        <v>60</v>
      </c>
      <c r="C158" t="str">
        <f>A158&amp;" "&amp;B158&amp;" tons"</f>
        <v>Medium Laser 60 tons</v>
      </c>
    </row>
    <row r="159" spans="1:3" x14ac:dyDescent="0.2">
      <c r="A159" t="s">
        <v>54</v>
      </c>
      <c r="B159">
        <v>100</v>
      </c>
      <c r="C159" t="str">
        <f>A159&amp;" "&amp;B159&amp;" tons"</f>
        <v>SRM 2 100 tons</v>
      </c>
    </row>
    <row r="160" spans="1:3" x14ac:dyDescent="0.2">
      <c r="A160" t="s">
        <v>55</v>
      </c>
      <c r="B160">
        <v>75</v>
      </c>
      <c r="C160" t="str">
        <f>A160&amp;" "&amp;B160&amp;" tons"</f>
        <v>Heat Sink 75 tons</v>
      </c>
    </row>
    <row r="161" spans="1:3" x14ac:dyDescent="0.2">
      <c r="A161" t="s">
        <v>20</v>
      </c>
      <c r="B161">
        <v>40</v>
      </c>
      <c r="C161" t="str">
        <f>A161&amp;" "&amp;B161&amp;" tons"</f>
        <v>Medium Laser 40 tons</v>
      </c>
    </row>
    <row r="162" spans="1:3" x14ac:dyDescent="0.2">
      <c r="A162" t="s">
        <v>55</v>
      </c>
      <c r="B162">
        <v>65</v>
      </c>
      <c r="C162" t="str">
        <f>A162&amp;" "&amp;B162&amp;" tons"</f>
        <v>Heat Sink 65 tons</v>
      </c>
    </row>
    <row r="163" spans="1:3" x14ac:dyDescent="0.2">
      <c r="A163" t="s">
        <v>53</v>
      </c>
      <c r="B163">
        <v>0</v>
      </c>
      <c r="C163" t="str">
        <f>A163&amp;" "&amp;B163&amp;" tons"</f>
        <v>Standard Gyro 0 tons</v>
      </c>
    </row>
    <row r="164" spans="1:3" x14ac:dyDescent="0.2">
      <c r="A164" t="s">
        <v>56</v>
      </c>
      <c r="B164">
        <v>30</v>
      </c>
      <c r="C164" t="str">
        <f>A164&amp;" "&amp;B164&amp;" tons"</f>
        <v>SRM 4 30 tons</v>
      </c>
    </row>
    <row r="165" spans="1:3" x14ac:dyDescent="0.2">
      <c r="A165" t="s">
        <v>57</v>
      </c>
      <c r="B165">
        <v>55</v>
      </c>
      <c r="C165" t="str">
        <f>A165&amp;" "&amp;B165&amp;" tons"</f>
        <v>LRM 5 55 tons</v>
      </c>
    </row>
    <row r="166" spans="1:3" x14ac:dyDescent="0.2">
      <c r="A166" t="s">
        <v>58</v>
      </c>
      <c r="B166">
        <v>0</v>
      </c>
      <c r="C166" t="str">
        <f>A166&amp;" "&amp;B166&amp;" tons"</f>
        <v>Half Machine Gun Ammo 0 tons</v>
      </c>
    </row>
    <row r="167" spans="1:3" x14ac:dyDescent="0.2">
      <c r="A167" t="s">
        <v>57</v>
      </c>
      <c r="B167">
        <v>100</v>
      </c>
      <c r="C167" t="str">
        <f>A167&amp;" "&amp;B167&amp;" tons"</f>
        <v>LRM 5 100 tons</v>
      </c>
    </row>
    <row r="168" spans="1:3" x14ac:dyDescent="0.2">
      <c r="A168" t="s">
        <v>57</v>
      </c>
      <c r="B168">
        <v>100</v>
      </c>
      <c r="C168" t="str">
        <f>A168&amp;" "&amp;B168&amp;" tons"</f>
        <v>LRM 5 100 tons</v>
      </c>
    </row>
    <row r="169" spans="1:3" x14ac:dyDescent="0.2">
      <c r="A169" t="s">
        <v>56</v>
      </c>
      <c r="B169">
        <v>60</v>
      </c>
      <c r="C169" t="str">
        <f>A169&amp;" "&amp;B169&amp;" tons"</f>
        <v>SRM 4 60 tons</v>
      </c>
    </row>
    <row r="170" spans="1:3" x14ac:dyDescent="0.2">
      <c r="A170" t="s">
        <v>56</v>
      </c>
      <c r="B170">
        <v>60</v>
      </c>
      <c r="C170" t="str">
        <f>A170&amp;" "&amp;B170&amp;" tons"</f>
        <v>SRM 4 60 tons</v>
      </c>
    </row>
    <row r="171" spans="1:3" x14ac:dyDescent="0.2">
      <c r="A171" t="s">
        <v>59</v>
      </c>
      <c r="B171">
        <v>10</v>
      </c>
      <c r="C171" t="str">
        <f>A171&amp;" "&amp;B171&amp;" tons"</f>
        <v>30 ICE [Vehicle] Engine 10 tons</v>
      </c>
    </row>
    <row r="172" spans="1:3" x14ac:dyDescent="0.2">
      <c r="A172" t="s">
        <v>60</v>
      </c>
      <c r="B172">
        <v>65</v>
      </c>
      <c r="C172" t="str">
        <f>A172&amp;" "&amp;B172&amp;" tons"</f>
        <v>Standard Cockpit 65 tons</v>
      </c>
    </row>
    <row r="173" spans="1:3" x14ac:dyDescent="0.2">
      <c r="A173" t="s">
        <v>53</v>
      </c>
      <c r="B173">
        <v>0</v>
      </c>
      <c r="C173" t="str">
        <f>A173&amp;" "&amp;B173&amp;" tons"</f>
        <v>Standard Gyro 0 tons</v>
      </c>
    </row>
    <row r="174" spans="1:3" x14ac:dyDescent="0.2">
      <c r="A174" t="s">
        <v>61</v>
      </c>
      <c r="B174">
        <v>65</v>
      </c>
      <c r="C174" t="str">
        <f>A174&amp;" "&amp;B174&amp;" tons"</f>
        <v>SRM 6 65 tons</v>
      </c>
    </row>
    <row r="175" spans="1:3" x14ac:dyDescent="0.2">
      <c r="A175" t="s">
        <v>62</v>
      </c>
      <c r="B175">
        <v>0</v>
      </c>
      <c r="C175" t="str">
        <f>A175&amp;" "&amp;B175&amp;" tons"</f>
        <v>AC/5 Ammo 0 tons</v>
      </c>
    </row>
    <row r="176" spans="1:3" x14ac:dyDescent="0.2">
      <c r="A176" t="s">
        <v>60</v>
      </c>
      <c r="B176">
        <v>20</v>
      </c>
      <c r="C176" t="str">
        <f>A176&amp;" "&amp;B176&amp;" tons"</f>
        <v>Standard Cockpit 20 tons</v>
      </c>
    </row>
    <row r="177" spans="1:3" x14ac:dyDescent="0.2">
      <c r="A177" t="s">
        <v>61</v>
      </c>
      <c r="B177">
        <v>100</v>
      </c>
      <c r="C177" t="str">
        <f>A177&amp;" "&amp;B177&amp;" tons"</f>
        <v>SRM 6 100 tons</v>
      </c>
    </row>
    <row r="178" spans="1:3" x14ac:dyDescent="0.2">
      <c r="A178" t="s">
        <v>61</v>
      </c>
      <c r="B178">
        <v>60</v>
      </c>
      <c r="C178" t="str">
        <f>A178&amp;" "&amp;B178&amp;" tons"</f>
        <v>SRM 6 60 tons</v>
      </c>
    </row>
    <row r="179" spans="1:3" x14ac:dyDescent="0.2">
      <c r="A179" t="s">
        <v>53</v>
      </c>
      <c r="B179">
        <v>35</v>
      </c>
      <c r="C179" t="str">
        <f>A179&amp;" "&amp;B179&amp;" tons"</f>
        <v>Standard Gyro 35 tons</v>
      </c>
    </row>
    <row r="180" spans="1:3" x14ac:dyDescent="0.2">
      <c r="A180" t="s">
        <v>60</v>
      </c>
      <c r="B180">
        <v>60</v>
      </c>
      <c r="C180" t="str">
        <f>A180&amp;" "&amp;B180&amp;" tons"</f>
        <v>Standard Cockpit 60 tons</v>
      </c>
    </row>
    <row r="181" spans="1:3" x14ac:dyDescent="0.2">
      <c r="A181" t="s">
        <v>63</v>
      </c>
      <c r="B181">
        <v>85</v>
      </c>
      <c r="C181" t="str">
        <f>A181&amp;" "&amp;B181&amp;" tons"</f>
        <v>LRM 10 85 tons</v>
      </c>
    </row>
    <row r="182" spans="1:3" x14ac:dyDescent="0.2">
      <c r="A182" t="s">
        <v>21</v>
      </c>
      <c r="B182">
        <v>55</v>
      </c>
      <c r="C182" t="str">
        <f>A182&amp;" "&amp;B182&amp;" tons"</f>
        <v>Large Laser 55 tons</v>
      </c>
    </row>
    <row r="183" spans="1:3" x14ac:dyDescent="0.2">
      <c r="A183" t="s">
        <v>21</v>
      </c>
      <c r="B183">
        <v>60</v>
      </c>
      <c r="C183" t="str">
        <f>A183&amp;" "&amp;B183&amp;" tons"</f>
        <v>Large Laser 60 tons</v>
      </c>
    </row>
    <row r="184" spans="1:3" x14ac:dyDescent="0.2">
      <c r="A184" t="s">
        <v>64</v>
      </c>
      <c r="B184">
        <v>30</v>
      </c>
      <c r="C184" t="str">
        <f>A184&amp;" "&amp;B184&amp;" tons"</f>
        <v>180 Fusion Engine 30 tons</v>
      </c>
    </row>
    <row r="185" spans="1:3" x14ac:dyDescent="0.2">
      <c r="A185" t="s">
        <v>65</v>
      </c>
      <c r="B185">
        <v>1</v>
      </c>
      <c r="C185" t="str">
        <f>A185&amp;" "&amp;B185&amp;" tons"</f>
        <v>LRM 20 Ammo 1 tons</v>
      </c>
    </row>
    <row r="186" spans="1:3" x14ac:dyDescent="0.2">
      <c r="A186" t="s">
        <v>22</v>
      </c>
      <c r="B186">
        <v>65</v>
      </c>
      <c r="C186" t="str">
        <f>A186&amp;" "&amp;B186&amp;" tons"</f>
        <v>PPC 65 tons</v>
      </c>
    </row>
    <row r="187" spans="1:3" x14ac:dyDescent="0.2">
      <c r="A187" t="s">
        <v>22</v>
      </c>
      <c r="B187">
        <v>60</v>
      </c>
      <c r="C187" t="str">
        <f>A187&amp;" "&amp;B187&amp;" tons"</f>
        <v>PPC 60 tons</v>
      </c>
    </row>
    <row r="188" spans="1:3" x14ac:dyDescent="0.2">
      <c r="A188" t="s">
        <v>22</v>
      </c>
      <c r="B188">
        <v>50</v>
      </c>
      <c r="C188" t="str">
        <f>A188&amp;" "&amp;B188&amp;" tons"</f>
        <v>PPC 50 tons</v>
      </c>
    </row>
    <row r="189" spans="1:3" x14ac:dyDescent="0.2">
      <c r="A189" t="s">
        <v>66</v>
      </c>
      <c r="B189">
        <v>0</v>
      </c>
      <c r="C189" t="str">
        <f>A189&amp;" "&amp;B189&amp;" tons"</f>
        <v>BAR 7 armor (D) 0 tons</v>
      </c>
    </row>
    <row r="190" spans="1:3" x14ac:dyDescent="0.2">
      <c r="A190" t="s">
        <v>23</v>
      </c>
      <c r="B190">
        <v>80</v>
      </c>
      <c r="C190" t="str">
        <f>A190&amp;" "&amp;B190&amp;" tons"</f>
        <v>AC/5 80 tons</v>
      </c>
    </row>
    <row r="191" spans="1:3" x14ac:dyDescent="0.2">
      <c r="A191" t="s">
        <v>23</v>
      </c>
      <c r="B191">
        <v>80</v>
      </c>
      <c r="C191" t="str">
        <f>A191&amp;" "&amp;B191&amp;" tons"</f>
        <v>AC/5 80 tons</v>
      </c>
    </row>
    <row r="192" spans="1:3" x14ac:dyDescent="0.2">
      <c r="A192" t="s">
        <v>23</v>
      </c>
      <c r="B192">
        <v>50</v>
      </c>
      <c r="C192" t="str">
        <f>A192&amp;" "&amp;B192&amp;" tons"</f>
        <v>AC/5 50 tons</v>
      </c>
    </row>
    <row r="193" spans="1:3" x14ac:dyDescent="0.2">
      <c r="A193" t="s">
        <v>67</v>
      </c>
      <c r="B193">
        <v>1900</v>
      </c>
      <c r="C193" t="str">
        <f>A193&amp;" "&amp;B193&amp;" tons"</f>
        <v>LRM 20 1900 tons</v>
      </c>
    </row>
    <row r="194" spans="1:3" x14ac:dyDescent="0.2">
      <c r="A194" t="s">
        <v>68</v>
      </c>
      <c r="B194">
        <v>1</v>
      </c>
      <c r="C194" t="str">
        <f>A194&amp;" "&amp;B194&amp;" tons"</f>
        <v>LRM 5 Ammo 1 tons</v>
      </c>
    </row>
    <row r="195" spans="1:3" x14ac:dyDescent="0.2">
      <c r="A195" t="s">
        <v>69</v>
      </c>
      <c r="B195">
        <v>1</v>
      </c>
      <c r="C195" t="str">
        <f>A195&amp;" "&amp;B195&amp;" tons"</f>
        <v>Machine Gun Ammo 1 tons</v>
      </c>
    </row>
    <row r="196" spans="1:3" x14ac:dyDescent="0.2">
      <c r="A196" t="s">
        <v>70</v>
      </c>
      <c r="B196">
        <v>1</v>
      </c>
      <c r="C196" t="str">
        <f>A196&amp;" "&amp;B196&amp;" tons"</f>
        <v>SRM 2 Ammo 1 tons</v>
      </c>
    </row>
    <row r="197" spans="1:3" x14ac:dyDescent="0.2">
      <c r="A197" t="s">
        <v>71</v>
      </c>
      <c r="B197">
        <v>1</v>
      </c>
      <c r="C197" t="str">
        <f>A197&amp;" "&amp;B197&amp;" tons"</f>
        <v>SRM 4 Ammo 1 tons</v>
      </c>
    </row>
    <row r="198" spans="1:3" x14ac:dyDescent="0.2">
      <c r="A198" t="s">
        <v>72</v>
      </c>
      <c r="B198">
        <v>1</v>
      </c>
      <c r="C198" t="str">
        <f>A198&amp;" "&amp;B198&amp;" tons"</f>
        <v>SRM 6 Ammo 1 tons</v>
      </c>
    </row>
    <row r="199" spans="1:3" x14ac:dyDescent="0.2">
      <c r="A199" t="s">
        <v>26</v>
      </c>
      <c r="B199">
        <v>100</v>
      </c>
      <c r="C199" t="str">
        <f>A199&amp;" "&amp;B199&amp;" tons"</f>
        <v>AC/10 100 tons</v>
      </c>
    </row>
    <row r="200" spans="1:3" x14ac:dyDescent="0.2">
      <c r="A200" t="s">
        <v>73</v>
      </c>
      <c r="B200">
        <v>60</v>
      </c>
      <c r="C200" t="str">
        <f>A200&amp;" "&amp;B200&amp;" tons"</f>
        <v>180 ICE [Vehicle] Engine 60 tons</v>
      </c>
    </row>
    <row r="201" spans="1:3" x14ac:dyDescent="0.2">
      <c r="A201" t="s">
        <v>74</v>
      </c>
      <c r="B201">
        <v>100</v>
      </c>
      <c r="C201" t="str">
        <f>A201&amp;" "&amp;B201&amp;" tons"</f>
        <v>200 ICE [Vehicle] Engine 100 tons</v>
      </c>
    </row>
    <row r="202" spans="1:3" x14ac:dyDescent="0.2">
      <c r="A202" t="s">
        <v>75</v>
      </c>
      <c r="B202">
        <v>1</v>
      </c>
      <c r="C202" t="str">
        <f>A202&amp;" "&amp;B202&amp;" tons"</f>
        <v>LRM 10 Ammo 1 tons</v>
      </c>
    </row>
    <row r="203" spans="1:3" x14ac:dyDescent="0.2">
      <c r="A203" t="s">
        <v>76</v>
      </c>
      <c r="B203">
        <v>80</v>
      </c>
      <c r="C203" t="str">
        <f>A203&amp;" "&amp;B203&amp;" tons"</f>
        <v>240 ICE [Vehicle] Engine 80 tons</v>
      </c>
    </row>
    <row r="204" spans="1:3" x14ac:dyDescent="0.2">
      <c r="A204" t="s">
        <v>76</v>
      </c>
      <c r="B204">
        <v>60</v>
      </c>
      <c r="C204" t="str">
        <f>A204&amp;" "&amp;B204&amp;" tons"</f>
        <v>240 ICE [Vehicle] Engine 60 tons</v>
      </c>
    </row>
    <row r="205" spans="1:3" x14ac:dyDescent="0.2">
      <c r="A205" t="s">
        <v>77</v>
      </c>
      <c r="B205">
        <v>50</v>
      </c>
      <c r="C205" t="str">
        <f>A205&amp;" "&amp;B205&amp;" tons"</f>
        <v>250 ICE [Vehicle] Engine 50 tons</v>
      </c>
    </row>
    <row r="206" spans="1:3" x14ac:dyDescent="0.2">
      <c r="A206" t="s">
        <v>78</v>
      </c>
      <c r="B206">
        <v>0</v>
      </c>
      <c r="C206" t="str">
        <f>A206&amp;" "&amp;B206&amp;" tons"</f>
        <v>Armor (Standard Aerospace) 0 tons</v>
      </c>
    </row>
    <row r="207" spans="1:3" x14ac:dyDescent="0.2">
      <c r="A207" t="s">
        <v>79</v>
      </c>
      <c r="B207">
        <v>0</v>
      </c>
      <c r="C207" t="str">
        <f>A207&amp;" "&amp;B207&amp;" tons"</f>
        <v>Armor (Standard) 0 tons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TOE</vt:lpstr>
      <vt:lpstr>Inventory Summary</vt:lpstr>
      <vt:lpstr>Parts Required</vt:lpstr>
      <vt:lpstr>Equipment Required</vt:lpstr>
      <vt:lpstr>MekHQ Inventory 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Stuart Marsh</dc:creator>
  <cp:lastModifiedBy>Stuart Marsh</cp:lastModifiedBy>
  <dcterms:created xsi:type="dcterms:W3CDTF">2024-08-09T08:51:06Z</dcterms:created>
  <dcterms:modified xsi:type="dcterms:W3CDTF">2024-08-09T10:26:39Z</dcterms:modified>
</cp:coreProperties>
</file>