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Morning Star/Manxiome Industries/Scenario 2 Hobol Mining/"/>
    </mc:Choice>
  </mc:AlternateContent>
  <xr:revisionPtr revIDLastSave="16" documentId="8_{01158F30-4C27-6342-AC51-CE9CF031B3E4}" xr6:coauthVersionLast="47" xr6:coauthVersionMax="47" xr10:uidLastSave="{702401E8-28AD-3244-A151-272EC95E4CF6}"/>
  <bookViews>
    <workbookView xWindow="48660" yWindow="600" windowWidth="28040" windowHeight="17180" xr2:uid="{0F4DEABA-C115-744F-9F76-81BCB813428C}"/>
  </bookViews>
  <sheets>
    <sheet name="Hobol Mining - Salvage 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J16" i="1"/>
  <c r="I15" i="1"/>
  <c r="J13" i="1"/>
  <c r="J11" i="1"/>
  <c r="J10" i="1"/>
  <c r="J9" i="1"/>
  <c r="J7" i="1"/>
  <c r="J6" i="1"/>
  <c r="J4" i="1"/>
  <c r="J2" i="1"/>
  <c r="J15" i="1" l="1"/>
</calcChain>
</file>

<file path=xl/sharedStrings.xml><?xml version="1.0" encoding="utf-8"?>
<sst xmlns="http://schemas.openxmlformats.org/spreadsheetml/2006/main" count="77" uniqueCount="66">
  <si>
    <t>Sergeant Victoria Ernalia</t>
  </si>
  <si>
    <t>Sergeant Wendel Wodarg</t>
  </si>
  <si>
    <t>Sergeant Yusuke Glodev</t>
  </si>
  <si>
    <t>Captain Ana Arganoza</t>
  </si>
  <si>
    <t>Sergeant Allen Maji</t>
  </si>
  <si>
    <t>Lieutenant SG Saurav Vinutha</t>
  </si>
  <si>
    <t>Sergeant Kameela bin Zuhair</t>
  </si>
  <si>
    <t>Sergeant Shunso Hayagawa</t>
  </si>
  <si>
    <t>Stalker</t>
  </si>
  <si>
    <t>STK-3F</t>
  </si>
  <si>
    <t>Lieutenant SG Zelislaw Zhivutsky</t>
  </si>
  <si>
    <t>Gunnery / Piloting: 4/2</t>
  </si>
  <si>
    <t>Archer</t>
  </si>
  <si>
    <t>ARC-2R</t>
  </si>
  <si>
    <t>Gunnery / Piloting: 4/6</t>
  </si>
  <si>
    <t>Warhammer</t>
  </si>
  <si>
    <t>WHM-6R</t>
  </si>
  <si>
    <t>Captain Shridevi Sambandam</t>
  </si>
  <si>
    <t>Gunnery / Piloting: 1/3</t>
  </si>
  <si>
    <t>Vulcan</t>
  </si>
  <si>
    <t>VL-2T</t>
  </si>
  <si>
    <t>Gunnery / Piloting: 3/5</t>
  </si>
  <si>
    <t>Firestarter</t>
  </si>
  <si>
    <t>FS9-H</t>
  </si>
  <si>
    <t>Lieutenant JG My-Khanh Thach</t>
  </si>
  <si>
    <t>Gunnery / Piloting: 2/3</t>
  </si>
  <si>
    <t>Blackjack</t>
  </si>
  <si>
    <t>BJ-1</t>
  </si>
  <si>
    <t>Union</t>
  </si>
  <si>
    <t>(2709) (Savage Wolf)</t>
  </si>
  <si>
    <t>Gunnery / Piloting: 5/5</t>
  </si>
  <si>
    <t>Awesome</t>
  </si>
  <si>
    <t>AWS-8Q</t>
  </si>
  <si>
    <t>Gunnery / Piloting: 4/5</t>
  </si>
  <si>
    <t>Zeus</t>
  </si>
  <si>
    <t>ZEU-6S</t>
  </si>
  <si>
    <t>Major William Retallack</t>
  </si>
  <si>
    <t>Gunnery / Piloting: 1/1</t>
  </si>
  <si>
    <t>Banshee</t>
  </si>
  <si>
    <t>BNC-3E</t>
  </si>
  <si>
    <t>Sergeant Chin-Shu Tann</t>
  </si>
  <si>
    <t>Griffin</t>
  </si>
  <si>
    <t>GRF-1N</t>
  </si>
  <si>
    <t>Gunnery / Piloting: 2/4</t>
  </si>
  <si>
    <t>Shadow Hawk</t>
  </si>
  <si>
    <t>SHD-2H</t>
  </si>
  <si>
    <t>Gunnery / Piloting: 3/6</t>
  </si>
  <si>
    <t>Spider</t>
  </si>
  <si>
    <t>SDR-5V</t>
  </si>
  <si>
    <t>Sale Price</t>
  </si>
  <si>
    <t>Total</t>
  </si>
  <si>
    <t>Crippled - Head Destroyed</t>
  </si>
  <si>
    <t>Heavy Damage</t>
  </si>
  <si>
    <t>Truly Destroyed -Ammo Explosion</t>
  </si>
  <si>
    <t>Escaped</t>
  </si>
  <si>
    <t>Light Damage</t>
  </si>
  <si>
    <t>Salavge Compensation (60%)</t>
  </si>
  <si>
    <t>Keep Salvage Y/N</t>
  </si>
  <si>
    <t>List Price</t>
  </si>
  <si>
    <t>Unit</t>
  </si>
  <si>
    <t>Variant</t>
  </si>
  <si>
    <t>Tonnage</t>
  </si>
  <si>
    <t>Pilot</t>
  </si>
  <si>
    <t>Skill</t>
  </si>
  <si>
    <t>BV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</si>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</sst>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€-2]\ * #,##0.00_);_([$€-2]\ * \(#,##0.00\);_([$€-2]\ 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8" fontId="0" fillId="0" borderId="1" xfId="0" applyNumberFormat="1" applyBorder="1"/>
    <xf numFmtId="168" fontId="1" fillId="0" borderId="1" xfId="0" applyNumberFormat="1" applyFont="1" applyBorder="1"/>
    <xf numFmtId="3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196A-F0B7-FA4F-BDD3-4243D87494C0}">
  <dimension ref="A1:J16"/>
  <sheetViews>
    <sheetView tabSelected="1" workbookViewId="0">
      <selection activeCell="D10" sqref="D10"/>
    </sheetView>
  </sheetViews>
  <sheetFormatPr baseColWidth="10" defaultRowHeight="16" x14ac:dyDescent="0.2"/>
  <cols>
    <col min="3" max="3" width="10.83203125" style="1"/>
    <col min="4" max="4" width="27.83203125" bestFit="1" customWidth="1"/>
    <col min="5" max="5" width="19" bestFit="1" customWidth="1"/>
    <col min="6" max="6" width="11.83203125" style="1" bestFit="1" customWidth="1"/>
    <col min="7" max="7" width="28.1640625" bestFit="1" customWidth="1"/>
    <col min="8" max="8" width="15" style="1" bestFit="1" customWidth="1"/>
    <col min="9" max="10" width="15.5" bestFit="1" customWidth="1"/>
  </cols>
  <sheetData>
    <row r="1" spans="1:10" s="1" customFormat="1" x14ac:dyDescent="0.2">
      <c r="A1" s="8" t="s">
        <v>59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57</v>
      </c>
      <c r="I1" s="8" t="s">
        <v>58</v>
      </c>
      <c r="J1" s="8" t="s">
        <v>49</v>
      </c>
    </row>
    <row r="2" spans="1:10" x14ac:dyDescent="0.2">
      <c r="A2" s="3" t="s">
        <v>8</v>
      </c>
      <c r="B2" s="3" t="s">
        <v>9</v>
      </c>
      <c r="C2" s="2">
        <v>85</v>
      </c>
      <c r="D2" s="10" t="s">
        <v>10</v>
      </c>
      <c r="E2" s="3" t="s">
        <v>11</v>
      </c>
      <c r="F2" s="2">
        <v>1685</v>
      </c>
      <c r="G2" s="3" t="s">
        <v>51</v>
      </c>
      <c r="H2" s="2"/>
      <c r="I2" s="4">
        <v>7463825</v>
      </c>
      <c r="J2" s="4">
        <f>I2/2</f>
        <v>3731912.5</v>
      </c>
    </row>
    <row r="3" spans="1:10" x14ac:dyDescent="0.2">
      <c r="A3" s="3" t="s">
        <v>12</v>
      </c>
      <c r="B3" s="3" t="s">
        <v>13</v>
      </c>
      <c r="C3" s="2">
        <v>70</v>
      </c>
      <c r="D3" s="9" t="s">
        <v>0</v>
      </c>
      <c r="E3" s="3" t="s">
        <v>14</v>
      </c>
      <c r="F3" s="2">
        <v>1403</v>
      </c>
      <c r="G3" s="3" t="s">
        <v>53</v>
      </c>
      <c r="H3" s="2"/>
      <c r="I3" s="4"/>
      <c r="J3" s="4"/>
    </row>
    <row r="4" spans="1:10" x14ac:dyDescent="0.2">
      <c r="A4" s="3" t="s">
        <v>15</v>
      </c>
      <c r="B4" s="3" t="s">
        <v>16</v>
      </c>
      <c r="C4" s="2">
        <v>70</v>
      </c>
      <c r="D4" s="10" t="s">
        <v>17</v>
      </c>
      <c r="E4" s="3" t="s">
        <v>18</v>
      </c>
      <c r="F4" s="2">
        <v>864</v>
      </c>
      <c r="G4" s="3" t="s">
        <v>51</v>
      </c>
      <c r="H4" s="2"/>
      <c r="I4" s="4">
        <v>6070983</v>
      </c>
      <c r="J4" s="4">
        <f>I4/2</f>
        <v>3035491.5</v>
      </c>
    </row>
    <row r="5" spans="1:10" x14ac:dyDescent="0.2">
      <c r="A5" s="3" t="s">
        <v>19</v>
      </c>
      <c r="B5" s="3" t="s">
        <v>20</v>
      </c>
      <c r="C5" s="2">
        <v>40</v>
      </c>
      <c r="D5" s="11" t="s">
        <v>1</v>
      </c>
      <c r="E5" s="3" t="s">
        <v>21</v>
      </c>
      <c r="F5" s="2">
        <v>770</v>
      </c>
      <c r="G5" s="3" t="s">
        <v>54</v>
      </c>
      <c r="H5" s="2"/>
      <c r="I5" s="4"/>
      <c r="J5" s="4"/>
    </row>
    <row r="6" spans="1:10" x14ac:dyDescent="0.2">
      <c r="A6" s="3" t="s">
        <v>22</v>
      </c>
      <c r="B6" s="3" t="s">
        <v>23</v>
      </c>
      <c r="C6" s="2">
        <v>35</v>
      </c>
      <c r="D6" s="9" t="s">
        <v>24</v>
      </c>
      <c r="E6" s="3" t="s">
        <v>25</v>
      </c>
      <c r="F6" s="2">
        <v>514</v>
      </c>
      <c r="G6" s="3" t="s">
        <v>52</v>
      </c>
      <c r="H6" s="2"/>
      <c r="I6" s="5">
        <v>3046950</v>
      </c>
      <c r="J6" s="4">
        <f>I6/2</f>
        <v>1523475</v>
      </c>
    </row>
    <row r="7" spans="1:10" x14ac:dyDescent="0.2">
      <c r="A7" s="3" t="s">
        <v>26</v>
      </c>
      <c r="B7" s="3" t="s">
        <v>27</v>
      </c>
      <c r="C7" s="2">
        <v>45</v>
      </c>
      <c r="D7" s="9" t="s">
        <v>2</v>
      </c>
      <c r="E7" s="3" t="s">
        <v>14</v>
      </c>
      <c r="F7" s="2">
        <v>135</v>
      </c>
      <c r="G7" s="3" t="s">
        <v>52</v>
      </c>
      <c r="H7" s="2"/>
      <c r="I7" s="4">
        <v>3147225</v>
      </c>
      <c r="J7" s="4">
        <f>I7/2</f>
        <v>1573612.5</v>
      </c>
    </row>
    <row r="8" spans="1:10" x14ac:dyDescent="0.2">
      <c r="A8" s="3" t="s">
        <v>28</v>
      </c>
      <c r="B8" s="3" t="s">
        <v>29</v>
      </c>
      <c r="C8" s="6">
        <v>3600</v>
      </c>
      <c r="D8" s="11" t="s">
        <v>3</v>
      </c>
      <c r="E8" s="3" t="s">
        <v>30</v>
      </c>
      <c r="F8" s="2">
        <v>3575</v>
      </c>
      <c r="G8" s="3" t="s">
        <v>54</v>
      </c>
      <c r="H8" s="2"/>
      <c r="I8" s="4"/>
      <c r="J8" s="4"/>
    </row>
    <row r="9" spans="1:10" x14ac:dyDescent="0.2">
      <c r="A9" s="3" t="s">
        <v>31</v>
      </c>
      <c r="B9" s="3" t="s">
        <v>32</v>
      </c>
      <c r="C9" s="2">
        <v>80</v>
      </c>
      <c r="D9" s="12" t="s">
        <v>4</v>
      </c>
      <c r="E9" s="3" t="s">
        <v>33</v>
      </c>
      <c r="F9" s="2">
        <v>1521</v>
      </c>
      <c r="G9" s="3" t="s">
        <v>55</v>
      </c>
      <c r="H9" s="2"/>
      <c r="I9" s="4">
        <v>6598170</v>
      </c>
      <c r="J9" s="4">
        <f>I9/2</f>
        <v>3299085</v>
      </c>
    </row>
    <row r="10" spans="1:10" x14ac:dyDescent="0.2">
      <c r="A10" s="3" t="s">
        <v>34</v>
      </c>
      <c r="B10" s="3" t="s">
        <v>35</v>
      </c>
      <c r="C10" s="2">
        <v>80</v>
      </c>
      <c r="D10" s="10" t="s">
        <v>36</v>
      </c>
      <c r="E10" s="3" t="s">
        <v>37</v>
      </c>
      <c r="F10" s="2">
        <v>2469</v>
      </c>
      <c r="G10" s="3" t="s">
        <v>51</v>
      </c>
      <c r="H10" s="2"/>
      <c r="I10" s="4">
        <v>7617900</v>
      </c>
      <c r="J10" s="4">
        <f>I10/2</f>
        <v>3808950</v>
      </c>
    </row>
    <row r="11" spans="1:10" x14ac:dyDescent="0.2">
      <c r="A11" s="3" t="s">
        <v>38</v>
      </c>
      <c r="B11" s="3" t="s">
        <v>39</v>
      </c>
      <c r="C11" s="2">
        <v>95</v>
      </c>
      <c r="D11" s="10" t="s">
        <v>40</v>
      </c>
      <c r="E11" s="3" t="s">
        <v>21</v>
      </c>
      <c r="F11" s="2">
        <v>464</v>
      </c>
      <c r="G11" s="3" t="s">
        <v>51</v>
      </c>
      <c r="H11" s="2"/>
      <c r="I11" s="4">
        <v>9530852</v>
      </c>
      <c r="J11" s="4">
        <f>I11/2</f>
        <v>4765426</v>
      </c>
    </row>
    <row r="12" spans="1:10" x14ac:dyDescent="0.2">
      <c r="A12" s="3" t="s">
        <v>41</v>
      </c>
      <c r="B12" s="3" t="s">
        <v>42</v>
      </c>
      <c r="C12" s="2">
        <v>55</v>
      </c>
      <c r="D12" s="9" t="s">
        <v>5</v>
      </c>
      <c r="E12" s="3" t="s">
        <v>43</v>
      </c>
      <c r="F12" s="2">
        <v>1959</v>
      </c>
      <c r="G12" s="3" t="s">
        <v>53</v>
      </c>
      <c r="H12" s="2"/>
      <c r="I12" s="4"/>
      <c r="J12" s="4"/>
    </row>
    <row r="13" spans="1:10" x14ac:dyDescent="0.2">
      <c r="A13" s="3" t="s">
        <v>44</v>
      </c>
      <c r="B13" s="3" t="s">
        <v>45</v>
      </c>
      <c r="C13" s="2">
        <v>55</v>
      </c>
      <c r="D13" s="9" t="s">
        <v>6</v>
      </c>
      <c r="E13" s="3" t="s">
        <v>46</v>
      </c>
      <c r="F13" s="2">
        <v>603</v>
      </c>
      <c r="G13" s="3" t="s">
        <v>52</v>
      </c>
      <c r="H13" s="2"/>
      <c r="I13" s="4">
        <v>4539382</v>
      </c>
      <c r="J13" s="4">
        <f>I13/2</f>
        <v>2269691</v>
      </c>
    </row>
    <row r="14" spans="1:10" x14ac:dyDescent="0.2">
      <c r="A14" s="3" t="s">
        <v>47</v>
      </c>
      <c r="B14" s="3" t="s">
        <v>48</v>
      </c>
      <c r="C14" s="2">
        <v>30</v>
      </c>
      <c r="D14" s="11" t="s">
        <v>7</v>
      </c>
      <c r="E14" s="3" t="s">
        <v>21</v>
      </c>
      <c r="F14" s="2">
        <v>746</v>
      </c>
      <c r="G14" s="3" t="s">
        <v>54</v>
      </c>
      <c r="H14" s="2"/>
      <c r="I14" s="4"/>
      <c r="J14" s="4"/>
    </row>
    <row r="15" spans="1:10" x14ac:dyDescent="0.2">
      <c r="A15" s="3"/>
      <c r="B15" s="3"/>
      <c r="C15" s="2"/>
      <c r="D15" s="3"/>
      <c r="E15" s="3"/>
      <c r="F15" s="7">
        <f>SUM(F2:F14)</f>
        <v>16708</v>
      </c>
      <c r="G15" s="3" t="s">
        <v>50</v>
      </c>
      <c r="H15" s="2"/>
      <c r="I15" s="4">
        <f>SUM(I2:I14)</f>
        <v>48015287</v>
      </c>
      <c r="J15" s="4">
        <f>SUM(J2:J14)</f>
        <v>24007643.5</v>
      </c>
    </row>
    <row r="16" spans="1:10" x14ac:dyDescent="0.2">
      <c r="A16" s="3"/>
      <c r="B16" s="3"/>
      <c r="C16" s="2"/>
      <c r="D16" s="3"/>
      <c r="E16" s="3"/>
      <c r="F16" s="2"/>
      <c r="G16" s="3" t="s">
        <v>56</v>
      </c>
      <c r="H16" s="2"/>
      <c r="I16" s="4"/>
      <c r="J16" s="4">
        <f>(J15*0.6)-SUMIF(H2:H14,"Y",J2:J14)</f>
        <v>14404586.1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Hobol Mining - Salvage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2026-05-30T11:39:12Z</dcterms:created>
  <dcterms:modified xsi:type="dcterms:W3CDTF">2026-05-30T11:56:40Z</dcterms:modified>
</cp:coreProperties>
</file>